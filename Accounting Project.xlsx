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esktop\Accounting Project\"/>
    </mc:Choice>
  </mc:AlternateContent>
  <xr:revisionPtr revIDLastSave="0" documentId="13_ncr:1_{3B9D9753-8FC0-4375-9E40-01AD9C4EC134}" xr6:coauthVersionLast="47" xr6:coauthVersionMax="47" xr10:uidLastSave="{00000000-0000-0000-0000-000000000000}"/>
  <bookViews>
    <workbookView xWindow="-120" yWindow="-120" windowWidth="20730" windowHeight="11760" activeTab="5" xr2:uid="{00000000-000D-0000-FFFF-FFFF00000000}"/>
  </bookViews>
  <sheets>
    <sheet name="ميزان المراجعه" sheetId="1" r:id="rId1"/>
    <sheet name="قيود اليوميه" sheetId="2" r:id="rId2"/>
    <sheet name="الجهات" sheetId="3" r:id="rId3"/>
    <sheet name="قائمه الدخل" sheetId="8" r:id="rId4"/>
    <sheet name="قائمه المركز المالي" sheetId="9" r:id="rId5"/>
    <sheet name="الحركات علي المخزون" sheetId="6" r:id="rId6"/>
    <sheet name="العملاءوالموردون والاصناف" sheetId="7" r:id="rId7"/>
    <sheet name="الايجارات" sheetId="4" r:id="rId8"/>
    <sheet name="الاهلاك" sheetId="5" r:id="rId9"/>
  </sheets>
  <definedNames>
    <definedName name="_xlnm._FilterDatabase" localSheetId="2" hidden="1">الجهات!$B$3:$J$12</definedName>
    <definedName name="_xlnm._FilterDatabase" localSheetId="5" hidden="1">'الحركات علي المخزون'!$B$4:$T$24</definedName>
    <definedName name="_xlnm._FilterDatabase" localSheetId="1" hidden="1">'قيود اليوميه'!$C$3:$L$104</definedName>
    <definedName name="_xlnm._FilterDatabase" localSheetId="0" hidden="1">'ميزان المراجعه'!$C$5:$Q$170</definedName>
  </definedNames>
  <calcPr calcId="191029"/>
</workbook>
</file>

<file path=xl/calcChain.xml><?xml version="1.0" encoding="utf-8"?>
<calcChain xmlns="http://schemas.openxmlformats.org/spreadsheetml/2006/main">
  <c r="E102" i="2" l="1"/>
  <c r="D102" i="2"/>
  <c r="T12" i="6"/>
  <c r="T13" i="6"/>
  <c r="T14" i="6"/>
  <c r="T15" i="6"/>
  <c r="T16" i="6"/>
  <c r="T17" i="6"/>
  <c r="T18" i="6"/>
  <c r="T19" i="6"/>
  <c r="T20" i="6"/>
  <c r="T21" i="6"/>
  <c r="T22" i="6"/>
  <c r="T23" i="6"/>
  <c r="T24" i="6"/>
  <c r="T11" i="6"/>
  <c r="H11" i="6"/>
  <c r="E11" i="6"/>
  <c r="L11" i="6"/>
  <c r="N11" i="6" s="1"/>
  <c r="O11" i="6" s="1"/>
  <c r="G11" i="6"/>
  <c r="L140" i="1"/>
  <c r="L141" i="1"/>
  <c r="L142" i="1"/>
  <c r="L143" i="1"/>
  <c r="K140" i="1"/>
  <c r="M140" i="1" s="1"/>
  <c r="K141" i="1"/>
  <c r="M141" i="1" s="1"/>
  <c r="K142" i="1"/>
  <c r="M142" i="1" s="1"/>
  <c r="K143" i="1"/>
  <c r="M143" i="1" s="1"/>
  <c r="L126" i="1"/>
  <c r="K126" i="1"/>
  <c r="H88" i="2"/>
  <c r="H89" i="2"/>
  <c r="H90" i="2"/>
  <c r="F91" i="2"/>
  <c r="F88" i="2"/>
  <c r="F89" i="2" s="1"/>
  <c r="F90" i="2" s="1"/>
  <c r="I6" i="5"/>
  <c r="I4" i="5"/>
  <c r="I5" i="5"/>
  <c r="J5" i="5" s="1"/>
  <c r="K5" i="5" s="1"/>
  <c r="F13" i="3"/>
  <c r="E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7" i="5"/>
  <c r="G7" i="5"/>
  <c r="J6" i="5"/>
  <c r="K6" i="5" s="1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C6" i="4"/>
  <c r="AG5" i="4"/>
  <c r="AF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AG4" i="4"/>
  <c r="AF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K26" i="6"/>
  <c r="J26" i="6"/>
  <c r="I26" i="6"/>
  <c r="Q24" i="6"/>
  <c r="L24" i="6"/>
  <c r="N24" i="6" s="1"/>
  <c r="O24" i="6" s="1"/>
  <c r="H24" i="6"/>
  <c r="G24" i="6"/>
  <c r="E24" i="6"/>
  <c r="Q23" i="6"/>
  <c r="L23" i="6"/>
  <c r="N23" i="6" s="1"/>
  <c r="O23" i="6" s="1"/>
  <c r="H23" i="6"/>
  <c r="G23" i="6"/>
  <c r="E23" i="6"/>
  <c r="Q22" i="6"/>
  <c r="L22" i="6"/>
  <c r="N22" i="6" s="1"/>
  <c r="O22" i="6" s="1"/>
  <c r="H22" i="6"/>
  <c r="G22" i="6"/>
  <c r="E22" i="6"/>
  <c r="Q21" i="6"/>
  <c r="L21" i="6"/>
  <c r="N21" i="6" s="1"/>
  <c r="O21" i="6" s="1"/>
  <c r="H21" i="6"/>
  <c r="G21" i="6"/>
  <c r="E21" i="6"/>
  <c r="Q20" i="6"/>
  <c r="L20" i="6"/>
  <c r="N20" i="6" s="1"/>
  <c r="O20" i="6" s="1"/>
  <c r="H20" i="6"/>
  <c r="G20" i="6"/>
  <c r="E20" i="6"/>
  <c r="Q19" i="6"/>
  <c r="L19" i="6"/>
  <c r="N19" i="6" s="1"/>
  <c r="O19" i="6" s="1"/>
  <c r="H19" i="6"/>
  <c r="G19" i="6"/>
  <c r="E19" i="6"/>
  <c r="Q18" i="6"/>
  <c r="L18" i="6"/>
  <c r="N18" i="6" s="1"/>
  <c r="O18" i="6" s="1"/>
  <c r="H18" i="6"/>
  <c r="G18" i="6"/>
  <c r="E18" i="6"/>
  <c r="Q17" i="6"/>
  <c r="L17" i="6"/>
  <c r="N17" i="6" s="1"/>
  <c r="O17" i="6" s="1"/>
  <c r="H17" i="6"/>
  <c r="G17" i="6"/>
  <c r="E17" i="6"/>
  <c r="Q16" i="6"/>
  <c r="L16" i="6"/>
  <c r="N16" i="6" s="1"/>
  <c r="O16" i="6" s="1"/>
  <c r="H16" i="6"/>
  <c r="G16" i="6"/>
  <c r="E16" i="6"/>
  <c r="Q15" i="6"/>
  <c r="L15" i="6"/>
  <c r="N15" i="6" s="1"/>
  <c r="O15" i="6" s="1"/>
  <c r="H15" i="6"/>
  <c r="G15" i="6"/>
  <c r="E15" i="6"/>
  <c r="Q14" i="6"/>
  <c r="L14" i="6"/>
  <c r="N14" i="6" s="1"/>
  <c r="O14" i="6" s="1"/>
  <c r="H14" i="6"/>
  <c r="G14" i="6"/>
  <c r="E14" i="6"/>
  <c r="Q13" i="6"/>
  <c r="L13" i="6"/>
  <c r="N13" i="6" s="1"/>
  <c r="O13" i="6" s="1"/>
  <c r="H13" i="6"/>
  <c r="G13" i="6"/>
  <c r="E13" i="6"/>
  <c r="Q12" i="6"/>
  <c r="L12" i="6"/>
  <c r="N12" i="6" s="1"/>
  <c r="O12" i="6" s="1"/>
  <c r="H12" i="6"/>
  <c r="G12" i="6"/>
  <c r="E12" i="6"/>
  <c r="T10" i="6"/>
  <c r="Q10" i="6"/>
  <c r="L10" i="6"/>
  <c r="N10" i="6" s="1"/>
  <c r="H10" i="6"/>
  <c r="G10" i="6"/>
  <c r="E10" i="6"/>
  <c r="T9" i="6"/>
  <c r="Q9" i="6"/>
  <c r="L9" i="6"/>
  <c r="H9" i="6"/>
  <c r="G9" i="6"/>
  <c r="E9" i="6"/>
  <c r="T8" i="6"/>
  <c r="Q8" i="6"/>
  <c r="L8" i="6"/>
  <c r="N8" i="6" s="1"/>
  <c r="O8" i="6" s="1"/>
  <c r="H8" i="6"/>
  <c r="G8" i="6"/>
  <c r="E8" i="6"/>
  <c r="T7" i="6"/>
  <c r="Q7" i="6"/>
  <c r="L7" i="6"/>
  <c r="N7" i="6" s="1"/>
  <c r="O7" i="6" s="1"/>
  <c r="H7" i="6"/>
  <c r="G7" i="6"/>
  <c r="E7" i="6"/>
  <c r="T6" i="6"/>
  <c r="Q6" i="6"/>
  <c r="L6" i="6"/>
  <c r="N6" i="6" s="1"/>
  <c r="O6" i="6" s="1"/>
  <c r="H6" i="6"/>
  <c r="G6" i="6"/>
  <c r="E6" i="6"/>
  <c r="Q5" i="6"/>
  <c r="L5" i="6"/>
  <c r="H5" i="6"/>
  <c r="G5" i="6"/>
  <c r="E5" i="6"/>
  <c r="L101" i="2"/>
  <c r="K101" i="2"/>
  <c r="H101" i="2"/>
  <c r="L100" i="2"/>
  <c r="K100" i="2"/>
  <c r="H100" i="2"/>
  <c r="L99" i="2"/>
  <c r="K99" i="2"/>
  <c r="H99" i="2"/>
  <c r="L98" i="2"/>
  <c r="K98" i="2"/>
  <c r="H98" i="2"/>
  <c r="L97" i="2"/>
  <c r="K97" i="2"/>
  <c r="H97" i="2"/>
  <c r="L96" i="2"/>
  <c r="K96" i="2"/>
  <c r="H96" i="2"/>
  <c r="L95" i="2"/>
  <c r="K95" i="2"/>
  <c r="H95" i="2"/>
  <c r="L94" i="2"/>
  <c r="K94" i="2"/>
  <c r="H94" i="2"/>
  <c r="L93" i="2"/>
  <c r="K93" i="2"/>
  <c r="H93" i="2"/>
  <c r="L92" i="2"/>
  <c r="K92" i="2"/>
  <c r="H92" i="2"/>
  <c r="L91" i="2"/>
  <c r="K91" i="2"/>
  <c r="H91" i="2"/>
  <c r="L87" i="2"/>
  <c r="K87" i="2"/>
  <c r="H87" i="2"/>
  <c r="L86" i="2"/>
  <c r="K86" i="2"/>
  <c r="H86" i="2"/>
  <c r="L85" i="2"/>
  <c r="K85" i="2"/>
  <c r="H85" i="2"/>
  <c r="L84" i="2"/>
  <c r="K84" i="2"/>
  <c r="H84" i="2"/>
  <c r="L83" i="2"/>
  <c r="K83" i="2"/>
  <c r="H83" i="2"/>
  <c r="L82" i="2"/>
  <c r="K82" i="2"/>
  <c r="H82" i="2"/>
  <c r="L81" i="2"/>
  <c r="K81" i="2"/>
  <c r="H81" i="2"/>
  <c r="L80" i="2"/>
  <c r="K80" i="2"/>
  <c r="H80" i="2"/>
  <c r="L79" i="2"/>
  <c r="K79" i="2"/>
  <c r="H79" i="2"/>
  <c r="L78" i="2"/>
  <c r="K78" i="2"/>
  <c r="H78" i="2"/>
  <c r="L77" i="2"/>
  <c r="K77" i="2"/>
  <c r="H77" i="2"/>
  <c r="L76" i="2"/>
  <c r="K76" i="2"/>
  <c r="H76" i="2"/>
  <c r="L75" i="2"/>
  <c r="K75" i="2"/>
  <c r="H75" i="2"/>
  <c r="L74" i="2"/>
  <c r="K74" i="2"/>
  <c r="H74" i="2"/>
  <c r="L73" i="2"/>
  <c r="K73" i="2"/>
  <c r="H73" i="2"/>
  <c r="L72" i="2"/>
  <c r="K72" i="2"/>
  <c r="H72" i="2"/>
  <c r="L71" i="2"/>
  <c r="K71" i="2"/>
  <c r="H71" i="2"/>
  <c r="L70" i="2"/>
  <c r="K70" i="2"/>
  <c r="H70" i="2"/>
  <c r="L69" i="2"/>
  <c r="K69" i="2"/>
  <c r="H69" i="2"/>
  <c r="L68" i="2"/>
  <c r="K68" i="2"/>
  <c r="H68" i="2"/>
  <c r="L67" i="2"/>
  <c r="K67" i="2"/>
  <c r="H67" i="2"/>
  <c r="L66" i="2"/>
  <c r="K66" i="2"/>
  <c r="H66" i="2"/>
  <c r="L65" i="2"/>
  <c r="K65" i="2"/>
  <c r="H65" i="2"/>
  <c r="L64" i="2"/>
  <c r="K64" i="2"/>
  <c r="H64" i="2"/>
  <c r="L63" i="2"/>
  <c r="K63" i="2"/>
  <c r="H63" i="2"/>
  <c r="L62" i="2"/>
  <c r="K62" i="2"/>
  <c r="H62" i="2"/>
  <c r="L61" i="2"/>
  <c r="K61" i="2"/>
  <c r="H61" i="2"/>
  <c r="L60" i="2"/>
  <c r="K60" i="2"/>
  <c r="H60" i="2"/>
  <c r="L59" i="2"/>
  <c r="K59" i="2"/>
  <c r="H59" i="2"/>
  <c r="L58" i="2"/>
  <c r="K58" i="2"/>
  <c r="H58" i="2"/>
  <c r="L57" i="2"/>
  <c r="K57" i="2"/>
  <c r="H57" i="2"/>
  <c r="L56" i="2"/>
  <c r="K56" i="2"/>
  <c r="H56" i="2"/>
  <c r="L55" i="2"/>
  <c r="K55" i="2"/>
  <c r="H55" i="2"/>
  <c r="L54" i="2"/>
  <c r="K54" i="2"/>
  <c r="H54" i="2"/>
  <c r="L53" i="2"/>
  <c r="K53" i="2"/>
  <c r="H53" i="2"/>
  <c r="L52" i="2"/>
  <c r="K52" i="2"/>
  <c r="H52" i="2"/>
  <c r="L51" i="2"/>
  <c r="K51" i="2"/>
  <c r="H51" i="2"/>
  <c r="L50" i="2"/>
  <c r="K50" i="2"/>
  <c r="H50" i="2"/>
  <c r="L49" i="2"/>
  <c r="K49" i="2"/>
  <c r="H49" i="2"/>
  <c r="L48" i="2"/>
  <c r="K48" i="2"/>
  <c r="H48" i="2"/>
  <c r="L47" i="2"/>
  <c r="K47" i="2"/>
  <c r="H47" i="2"/>
  <c r="L46" i="2"/>
  <c r="K46" i="2"/>
  <c r="H46" i="2"/>
  <c r="L45" i="2"/>
  <c r="K45" i="2"/>
  <c r="H45" i="2"/>
  <c r="L44" i="2"/>
  <c r="K44" i="2"/>
  <c r="H44" i="2"/>
  <c r="L43" i="2"/>
  <c r="K43" i="2"/>
  <c r="H43" i="2"/>
  <c r="L42" i="2"/>
  <c r="K42" i="2"/>
  <c r="H42" i="2"/>
  <c r="L41" i="2"/>
  <c r="K41" i="2"/>
  <c r="H41" i="2"/>
  <c r="L40" i="2"/>
  <c r="K40" i="2"/>
  <c r="H40" i="2"/>
  <c r="L39" i="2"/>
  <c r="K39" i="2"/>
  <c r="H39" i="2"/>
  <c r="L38" i="2"/>
  <c r="K38" i="2"/>
  <c r="H38" i="2"/>
  <c r="L37" i="2"/>
  <c r="K37" i="2"/>
  <c r="H37" i="2"/>
  <c r="L36" i="2"/>
  <c r="K36" i="2"/>
  <c r="H36" i="2"/>
  <c r="L35" i="2"/>
  <c r="K35" i="2"/>
  <c r="H35" i="2"/>
  <c r="L34" i="2"/>
  <c r="K34" i="2"/>
  <c r="H34" i="2"/>
  <c r="L33" i="2"/>
  <c r="K33" i="2"/>
  <c r="H33" i="2"/>
  <c r="L32" i="2"/>
  <c r="K32" i="2"/>
  <c r="H32" i="2"/>
  <c r="L31" i="2"/>
  <c r="K31" i="2"/>
  <c r="H31" i="2"/>
  <c r="H30" i="2"/>
  <c r="H29" i="2"/>
  <c r="H28" i="2"/>
  <c r="H27" i="2"/>
  <c r="L26" i="2"/>
  <c r="K26" i="2"/>
  <c r="H26" i="2"/>
  <c r="L25" i="2"/>
  <c r="K25" i="2"/>
  <c r="H25" i="2"/>
  <c r="L24" i="2"/>
  <c r="K24" i="2"/>
  <c r="H24" i="2"/>
  <c r="L23" i="2"/>
  <c r="K23" i="2"/>
  <c r="H23" i="2"/>
  <c r="L22" i="2"/>
  <c r="K22" i="2"/>
  <c r="H22" i="2"/>
  <c r="L21" i="2"/>
  <c r="K21" i="2"/>
  <c r="H21" i="2"/>
  <c r="L20" i="2"/>
  <c r="K20" i="2"/>
  <c r="H20" i="2"/>
  <c r="L19" i="2"/>
  <c r="K19" i="2"/>
  <c r="H19" i="2"/>
  <c r="L18" i="2"/>
  <c r="K18" i="2"/>
  <c r="H18" i="2"/>
  <c r="L17" i="2"/>
  <c r="K17" i="2"/>
  <c r="H17" i="2"/>
  <c r="L16" i="2"/>
  <c r="K16" i="2"/>
  <c r="H16" i="2"/>
  <c r="L15" i="2"/>
  <c r="K15" i="2"/>
  <c r="H15" i="2"/>
  <c r="L14" i="2"/>
  <c r="K14" i="2"/>
  <c r="H14" i="2"/>
  <c r="L13" i="2"/>
  <c r="K13" i="2"/>
  <c r="H13" i="2"/>
  <c r="L12" i="2"/>
  <c r="K12" i="2"/>
  <c r="H12" i="2"/>
  <c r="L11" i="2"/>
  <c r="K11" i="2"/>
  <c r="H11" i="2"/>
  <c r="L10" i="2"/>
  <c r="K10" i="2"/>
  <c r="H10" i="2"/>
  <c r="L9" i="2"/>
  <c r="K9" i="2"/>
  <c r="H9" i="2"/>
  <c r="L8" i="2"/>
  <c r="K8" i="2"/>
  <c r="H8" i="2"/>
  <c r="L7" i="2"/>
  <c r="K7" i="2"/>
  <c r="H7" i="2"/>
  <c r="L6" i="2"/>
  <c r="K6" i="2"/>
  <c r="H6" i="2"/>
  <c r="L5" i="2"/>
  <c r="K5" i="2"/>
  <c r="H5" i="2"/>
  <c r="L4" i="2"/>
  <c r="K4" i="2"/>
  <c r="H4" i="2"/>
  <c r="F4" i="2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J168" i="1"/>
  <c r="I168" i="1"/>
  <c r="L167" i="1"/>
  <c r="K167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5" i="1"/>
  <c r="K155" i="1"/>
  <c r="L154" i="1"/>
  <c r="K154" i="1"/>
  <c r="L153" i="1"/>
  <c r="K153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39" i="1"/>
  <c r="N139" i="1" s="1"/>
  <c r="K139" i="1"/>
  <c r="L138" i="1"/>
  <c r="K138" i="1"/>
  <c r="L137" i="1"/>
  <c r="K137" i="1"/>
  <c r="L136" i="1"/>
  <c r="K136" i="1"/>
  <c r="L133" i="1"/>
  <c r="K133" i="1"/>
  <c r="L132" i="1"/>
  <c r="K132" i="1"/>
  <c r="L130" i="1"/>
  <c r="K130" i="1"/>
  <c r="L129" i="1"/>
  <c r="K129" i="1"/>
  <c r="L128" i="1"/>
  <c r="K128" i="1"/>
  <c r="L125" i="1"/>
  <c r="K125" i="1"/>
  <c r="L124" i="1"/>
  <c r="K124" i="1"/>
  <c r="L123" i="1"/>
  <c r="K123" i="1"/>
  <c r="L122" i="1"/>
  <c r="K122" i="1"/>
  <c r="L118" i="1"/>
  <c r="K118" i="1"/>
  <c r="L117" i="1"/>
  <c r="K117" i="1"/>
  <c r="L115" i="1"/>
  <c r="K115" i="1"/>
  <c r="L114" i="1"/>
  <c r="K114" i="1"/>
  <c r="L112" i="1"/>
  <c r="K112" i="1"/>
  <c r="L110" i="1"/>
  <c r="K110" i="1"/>
  <c r="L109" i="1"/>
  <c r="K109" i="1"/>
  <c r="L106" i="1"/>
  <c r="K106" i="1"/>
  <c r="L105" i="1"/>
  <c r="K105" i="1"/>
  <c r="L104" i="1"/>
  <c r="K104" i="1"/>
  <c r="L102" i="1"/>
  <c r="K102" i="1"/>
  <c r="L101" i="1"/>
  <c r="K101" i="1"/>
  <c r="L99" i="1"/>
  <c r="K99" i="1"/>
  <c r="L98" i="1"/>
  <c r="K98" i="1"/>
  <c r="L97" i="1"/>
  <c r="K97" i="1"/>
  <c r="L96" i="1"/>
  <c r="K96" i="1"/>
  <c r="L92" i="1"/>
  <c r="K92" i="1"/>
  <c r="L91" i="1"/>
  <c r="K91" i="1"/>
  <c r="L90" i="1"/>
  <c r="K90" i="1"/>
  <c r="L88" i="1"/>
  <c r="K88" i="1"/>
  <c r="L87" i="1"/>
  <c r="K87" i="1"/>
  <c r="L86" i="1"/>
  <c r="K86" i="1"/>
  <c r="L84" i="1"/>
  <c r="K84" i="1"/>
  <c r="L83" i="1"/>
  <c r="K83" i="1"/>
  <c r="L82" i="1"/>
  <c r="K82" i="1"/>
  <c r="L81" i="1"/>
  <c r="K81" i="1"/>
  <c r="L79" i="1"/>
  <c r="K79" i="1"/>
  <c r="L78" i="1"/>
  <c r="K78" i="1"/>
  <c r="L77" i="1"/>
  <c r="K77" i="1"/>
  <c r="L76" i="1"/>
  <c r="K76" i="1"/>
  <c r="L74" i="1"/>
  <c r="K74" i="1"/>
  <c r="L73" i="1"/>
  <c r="K73" i="1"/>
  <c r="L72" i="1"/>
  <c r="K72" i="1"/>
  <c r="L71" i="1"/>
  <c r="K71" i="1"/>
  <c r="L68" i="1"/>
  <c r="K68" i="1"/>
  <c r="L66" i="1"/>
  <c r="K66" i="1"/>
  <c r="L65" i="1"/>
  <c r="K65" i="1"/>
  <c r="L64" i="1"/>
  <c r="K64" i="1"/>
  <c r="L63" i="1"/>
  <c r="K63" i="1"/>
  <c r="L61" i="1"/>
  <c r="K61" i="1"/>
  <c r="L60" i="1"/>
  <c r="K60" i="1"/>
  <c r="L59" i="1"/>
  <c r="K59" i="1"/>
  <c r="L58" i="1"/>
  <c r="K58" i="1"/>
  <c r="L56" i="1"/>
  <c r="K56" i="1"/>
  <c r="L55" i="1"/>
  <c r="K55" i="1"/>
  <c r="L52" i="1"/>
  <c r="K52" i="1"/>
  <c r="L51" i="1"/>
  <c r="K51" i="1"/>
  <c r="L50" i="1"/>
  <c r="K50" i="1"/>
  <c r="L49" i="1"/>
  <c r="K49" i="1"/>
  <c r="L45" i="1"/>
  <c r="K45" i="1"/>
  <c r="L44" i="1"/>
  <c r="K44" i="1"/>
  <c r="L43" i="1"/>
  <c r="K43" i="1"/>
  <c r="L41" i="1"/>
  <c r="K41" i="1"/>
  <c r="L40" i="1"/>
  <c r="K40" i="1"/>
  <c r="L39" i="1"/>
  <c r="K39" i="1"/>
  <c r="L38" i="1"/>
  <c r="K38" i="1"/>
  <c r="L36" i="1"/>
  <c r="K36" i="1"/>
  <c r="L35" i="1"/>
  <c r="K35" i="1"/>
  <c r="L33" i="1"/>
  <c r="K33" i="1"/>
  <c r="L32" i="1"/>
  <c r="K32" i="1"/>
  <c r="L30" i="1"/>
  <c r="K30" i="1"/>
  <c r="L29" i="1"/>
  <c r="K29" i="1"/>
  <c r="L27" i="1"/>
  <c r="K27" i="1"/>
  <c r="L26" i="1"/>
  <c r="K26" i="1"/>
  <c r="L25" i="1"/>
  <c r="K25" i="1"/>
  <c r="L24" i="1"/>
  <c r="K24" i="1"/>
  <c r="L23" i="1"/>
  <c r="K23" i="1"/>
  <c r="L22" i="1"/>
  <c r="K22" i="1"/>
  <c r="L19" i="1"/>
  <c r="K19" i="1"/>
  <c r="L17" i="1"/>
  <c r="K17" i="1"/>
  <c r="L16" i="1"/>
  <c r="K16" i="1"/>
  <c r="L14" i="1"/>
  <c r="K14" i="1"/>
  <c r="L13" i="1"/>
  <c r="K13" i="1"/>
  <c r="L12" i="1"/>
  <c r="K12" i="1"/>
  <c r="L11" i="1"/>
  <c r="K11" i="1"/>
  <c r="L10" i="1"/>
  <c r="K10" i="1"/>
  <c r="K9" i="1"/>
  <c r="N9" i="6" l="1"/>
  <c r="O9" i="6" s="1"/>
  <c r="O10" i="6"/>
  <c r="L26" i="6"/>
  <c r="N5" i="6"/>
  <c r="N143" i="1"/>
  <c r="O143" i="1" s="1"/>
  <c r="N142" i="1"/>
  <c r="N141" i="1"/>
  <c r="O141" i="1" s="1"/>
  <c r="N140" i="1"/>
  <c r="O140" i="1" s="1"/>
  <c r="O142" i="1"/>
  <c r="N126" i="1"/>
  <c r="J169" i="1"/>
  <c r="M126" i="1"/>
  <c r="J7" i="3"/>
  <c r="J9" i="3"/>
  <c r="J11" i="3"/>
  <c r="M90" i="1"/>
  <c r="N60" i="1"/>
  <c r="M52" i="1"/>
  <c r="M86" i="1"/>
  <c r="H13" i="3"/>
  <c r="N91" i="1"/>
  <c r="M110" i="1"/>
  <c r="N145" i="1"/>
  <c r="N165" i="1"/>
  <c r="N115" i="1"/>
  <c r="N123" i="1"/>
  <c r="N136" i="1"/>
  <c r="N164" i="1"/>
  <c r="N17" i="1"/>
  <c r="M43" i="1"/>
  <c r="N64" i="1"/>
  <c r="M66" i="1"/>
  <c r="N76" i="1"/>
  <c r="N81" i="1"/>
  <c r="N124" i="1"/>
  <c r="M128" i="1"/>
  <c r="M130" i="1"/>
  <c r="M137" i="1"/>
  <c r="M161" i="1"/>
  <c r="M163" i="1"/>
  <c r="M165" i="1"/>
  <c r="M11" i="1"/>
  <c r="M19" i="1"/>
  <c r="M41" i="1"/>
  <c r="M68" i="1"/>
  <c r="M79" i="1"/>
  <c r="N13" i="1"/>
  <c r="N52" i="1"/>
  <c r="N117" i="1"/>
  <c r="M24" i="1"/>
  <c r="M29" i="1"/>
  <c r="M32" i="1"/>
  <c r="N35" i="1"/>
  <c r="M64" i="1"/>
  <c r="N97" i="1"/>
  <c r="N109" i="1"/>
  <c r="M115" i="1"/>
  <c r="N155" i="1"/>
  <c r="N161" i="1"/>
  <c r="O161" i="1" s="1"/>
  <c r="J6" i="3"/>
  <c r="J8" i="3"/>
  <c r="J10" i="3"/>
  <c r="J12" i="3"/>
  <c r="N39" i="1"/>
  <c r="N45" i="1"/>
  <c r="N65" i="1"/>
  <c r="M58" i="1"/>
  <c r="M91" i="1"/>
  <c r="M98" i="1"/>
  <c r="M101" i="1"/>
  <c r="M104" i="1"/>
  <c r="N110" i="1"/>
  <c r="M154" i="1"/>
  <c r="M164" i="1"/>
  <c r="G13" i="3"/>
  <c r="N29" i="1"/>
  <c r="N40" i="1"/>
  <c r="N44" i="1"/>
  <c r="N61" i="1"/>
  <c r="N84" i="1"/>
  <c r="O84" i="1" s="1"/>
  <c r="N130" i="1"/>
  <c r="O130" i="1" s="1"/>
  <c r="N137" i="1"/>
  <c r="O137" i="1" s="1"/>
  <c r="M139" i="1"/>
  <c r="O139" i="1" s="1"/>
  <c r="M10" i="1"/>
  <c r="N12" i="1"/>
  <c r="N16" i="1"/>
  <c r="N19" i="1"/>
  <c r="N23" i="1"/>
  <c r="M33" i="1"/>
  <c r="N36" i="1"/>
  <c r="N41" i="1"/>
  <c r="M45" i="1"/>
  <c r="M71" i="1"/>
  <c r="M76" i="1"/>
  <c r="M78" i="1"/>
  <c r="M81" i="1"/>
  <c r="N86" i="1"/>
  <c r="N98" i="1"/>
  <c r="N104" i="1"/>
  <c r="M114" i="1"/>
  <c r="M129" i="1"/>
  <c r="M145" i="1"/>
  <c r="N148" i="1"/>
  <c r="N160" i="1"/>
  <c r="M22" i="1"/>
  <c r="N24" i="1"/>
  <c r="M56" i="1"/>
  <c r="N59" i="1"/>
  <c r="M65" i="1"/>
  <c r="M88" i="1"/>
  <c r="N90" i="1"/>
  <c r="M102" i="1"/>
  <c r="M117" i="1"/>
  <c r="N149" i="1"/>
  <c r="M153" i="1"/>
  <c r="M155" i="1"/>
  <c r="M14" i="1"/>
  <c r="M17" i="1"/>
  <c r="N26" i="1"/>
  <c r="N30" i="1"/>
  <c r="N33" i="1"/>
  <c r="M36" i="1"/>
  <c r="M39" i="1"/>
  <c r="M44" i="1"/>
  <c r="N49" i="1"/>
  <c r="O49" i="1" s="1"/>
  <c r="D18" i="9" s="1"/>
  <c r="N51" i="1"/>
  <c r="M61" i="1"/>
  <c r="N63" i="1"/>
  <c r="N73" i="1"/>
  <c r="N77" i="1"/>
  <c r="M83" i="1"/>
  <c r="M97" i="1"/>
  <c r="M106" i="1"/>
  <c r="M123" i="1"/>
  <c r="M133" i="1"/>
  <c r="M148" i="1"/>
  <c r="M159" i="1"/>
  <c r="D103" i="2"/>
  <c r="I6" i="3"/>
  <c r="I8" i="3"/>
  <c r="I10" i="3"/>
  <c r="I12" i="3"/>
  <c r="N68" i="1"/>
  <c r="N79" i="1"/>
  <c r="N102" i="1"/>
  <c r="M124" i="1"/>
  <c r="N129" i="1"/>
  <c r="M149" i="1"/>
  <c r="O149" i="1" s="1"/>
  <c r="N154" i="1"/>
  <c r="K168" i="1"/>
  <c r="N11" i="1"/>
  <c r="M13" i="1"/>
  <c r="M16" i="1"/>
  <c r="M23" i="1"/>
  <c r="N25" i="1"/>
  <c r="N27" i="1"/>
  <c r="M38" i="1"/>
  <c r="M40" i="1"/>
  <c r="N50" i="1"/>
  <c r="N55" i="1"/>
  <c r="M60" i="1"/>
  <c r="O60" i="1" s="1"/>
  <c r="N71" i="1"/>
  <c r="O71" i="1" s="1"/>
  <c r="N72" i="1"/>
  <c r="N74" i="1"/>
  <c r="M84" i="1"/>
  <c r="M96" i="1"/>
  <c r="M109" i="1"/>
  <c r="M122" i="1"/>
  <c r="M136" i="1"/>
  <c r="M147" i="1"/>
  <c r="M160" i="1"/>
  <c r="I7" i="3"/>
  <c r="I9" i="3"/>
  <c r="I11" i="3"/>
  <c r="M49" i="1"/>
  <c r="M50" i="1"/>
  <c r="N56" i="1"/>
  <c r="M63" i="1"/>
  <c r="M72" i="1"/>
  <c r="M73" i="1"/>
  <c r="M77" i="1"/>
  <c r="N82" i="1"/>
  <c r="M82" i="1"/>
  <c r="N87" i="1"/>
  <c r="M87" i="1"/>
  <c r="N92" i="1"/>
  <c r="M92" i="1"/>
  <c r="N99" i="1"/>
  <c r="M99" i="1"/>
  <c r="N105" i="1"/>
  <c r="M105" i="1"/>
  <c r="N112" i="1"/>
  <c r="M112" i="1"/>
  <c r="N118" i="1"/>
  <c r="M118" i="1"/>
  <c r="N125" i="1"/>
  <c r="M125" i="1"/>
  <c r="N132" i="1"/>
  <c r="M132" i="1"/>
  <c r="N138" i="1"/>
  <c r="M138" i="1"/>
  <c r="N146" i="1"/>
  <c r="M146" i="1"/>
  <c r="N150" i="1"/>
  <c r="M150" i="1"/>
  <c r="N158" i="1"/>
  <c r="M158" i="1"/>
  <c r="N162" i="1"/>
  <c r="M162" i="1"/>
  <c r="N167" i="1"/>
  <c r="M167" i="1"/>
  <c r="L168" i="1"/>
  <c r="N10" i="1"/>
  <c r="N32" i="1"/>
  <c r="N38" i="1"/>
  <c r="F31" i="2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27" i="2"/>
  <c r="F28" i="2" s="1"/>
  <c r="F29" i="2" s="1"/>
  <c r="F30" i="2" s="1"/>
  <c r="M9" i="1"/>
  <c r="M25" i="1"/>
  <c r="M26" i="1"/>
  <c r="N9" i="1"/>
  <c r="M12" i="1"/>
  <c r="N14" i="1"/>
  <c r="M30" i="1"/>
  <c r="M35" i="1"/>
  <c r="M55" i="1"/>
  <c r="N58" i="1"/>
  <c r="M59" i="1"/>
  <c r="N22" i="1"/>
  <c r="M27" i="1"/>
  <c r="N43" i="1"/>
  <c r="M51" i="1"/>
  <c r="N66" i="1"/>
  <c r="O66" i="1" s="1"/>
  <c r="D25" i="9" s="1"/>
  <c r="M74" i="1"/>
  <c r="N78" i="1"/>
  <c r="N83" i="1"/>
  <c r="N88" i="1"/>
  <c r="O91" i="1"/>
  <c r="N96" i="1"/>
  <c r="O96" i="1" s="1"/>
  <c r="N101" i="1"/>
  <c r="N106" i="1"/>
  <c r="N114" i="1"/>
  <c r="N122" i="1"/>
  <c r="N128" i="1"/>
  <c r="O128" i="1" s="1"/>
  <c r="N133" i="1"/>
  <c r="N147" i="1"/>
  <c r="N153" i="1"/>
  <c r="N159" i="1"/>
  <c r="N163" i="1"/>
  <c r="O163" i="1" s="1"/>
  <c r="I5" i="3"/>
  <c r="J5" i="3"/>
  <c r="I7" i="5"/>
  <c r="J4" i="5"/>
  <c r="N26" i="6" l="1"/>
  <c r="O26" i="6" s="1"/>
  <c r="O5" i="6"/>
  <c r="O32" i="1"/>
  <c r="O109" i="1"/>
  <c r="O164" i="1"/>
  <c r="O39" i="1"/>
  <c r="O41" i="1"/>
  <c r="O52" i="1"/>
  <c r="O76" i="1"/>
  <c r="O17" i="1"/>
  <c r="O123" i="1"/>
  <c r="O68" i="1"/>
  <c r="D26" i="9" s="1"/>
  <c r="O126" i="1"/>
  <c r="O38" i="1"/>
  <c r="O35" i="1"/>
  <c r="O117" i="1"/>
  <c r="O115" i="1"/>
  <c r="O81" i="1"/>
  <c r="O110" i="1"/>
  <c r="O114" i="1"/>
  <c r="O10" i="1"/>
  <c r="O160" i="1"/>
  <c r="O165" i="1"/>
  <c r="O23" i="1"/>
  <c r="O44" i="1"/>
  <c r="O56" i="1"/>
  <c r="O90" i="1"/>
  <c r="O45" i="1"/>
  <c r="O26" i="1"/>
  <c r="O148" i="1"/>
  <c r="O122" i="1"/>
  <c r="O86" i="1"/>
  <c r="F49" i="2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O101" i="1"/>
  <c r="O24" i="1"/>
  <c r="O79" i="1"/>
  <c r="O106" i="1"/>
  <c r="O50" i="1"/>
  <c r="O124" i="1"/>
  <c r="O97" i="1"/>
  <c r="O65" i="1"/>
  <c r="D24" i="9" s="1"/>
  <c r="O155" i="1"/>
  <c r="O64" i="1"/>
  <c r="O145" i="1"/>
  <c r="O58" i="1"/>
  <c r="O72" i="1"/>
  <c r="O102" i="1"/>
  <c r="O104" i="1"/>
  <c r="O19" i="1"/>
  <c r="D8" i="9" s="1"/>
  <c r="O98" i="1"/>
  <c r="O13" i="1"/>
  <c r="O77" i="1"/>
  <c r="O36" i="1"/>
  <c r="O29" i="1"/>
  <c r="J13" i="3"/>
  <c r="O78" i="1"/>
  <c r="O43" i="1"/>
  <c r="O59" i="1"/>
  <c r="O11" i="1"/>
  <c r="O14" i="1"/>
  <c r="O40" i="1"/>
  <c r="D14" i="9" s="1"/>
  <c r="O153" i="1"/>
  <c r="O22" i="1"/>
  <c r="O136" i="1"/>
  <c r="O16" i="1"/>
  <c r="D7" i="9" s="1"/>
  <c r="O154" i="1"/>
  <c r="O159" i="1"/>
  <c r="O129" i="1"/>
  <c r="O25" i="1"/>
  <c r="O12" i="1"/>
  <c r="O63" i="1"/>
  <c r="O61" i="1"/>
  <c r="L169" i="1"/>
  <c r="O73" i="1"/>
  <c r="O147" i="1"/>
  <c r="O88" i="1"/>
  <c r="O30" i="1"/>
  <c r="O33" i="1"/>
  <c r="O133" i="1"/>
  <c r="I13" i="3"/>
  <c r="O83" i="1"/>
  <c r="O74" i="1"/>
  <c r="O27" i="1"/>
  <c r="O55" i="1"/>
  <c r="O51" i="1"/>
  <c r="O167" i="1"/>
  <c r="D15" i="8" s="1"/>
  <c r="O158" i="1"/>
  <c r="O146" i="1"/>
  <c r="O132" i="1"/>
  <c r="O118" i="1"/>
  <c r="O105" i="1"/>
  <c r="O92" i="1"/>
  <c r="O82" i="1"/>
  <c r="D31" i="9" s="1"/>
  <c r="O162" i="1"/>
  <c r="O150" i="1"/>
  <c r="O138" i="1"/>
  <c r="O125" i="1"/>
  <c r="O112" i="1"/>
  <c r="O99" i="1"/>
  <c r="O87" i="1"/>
  <c r="N168" i="1"/>
  <c r="O9" i="1"/>
  <c r="M168" i="1"/>
  <c r="K4" i="5"/>
  <c r="K7" i="5" s="1"/>
  <c r="J7" i="5"/>
  <c r="D33" i="9" l="1"/>
  <c r="D23" i="9"/>
  <c r="D30" i="9"/>
  <c r="D13" i="9"/>
  <c r="F71" i="2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D29" i="9"/>
  <c r="D11" i="8"/>
  <c r="D6" i="8"/>
  <c r="D27" i="9"/>
  <c r="D12" i="8"/>
  <c r="N169" i="1"/>
  <c r="D12" i="9"/>
  <c r="D11" i="9"/>
  <c r="D13" i="8"/>
  <c r="D7" i="8"/>
  <c r="D32" i="9"/>
  <c r="D9" i="8"/>
  <c r="D6" i="9"/>
  <c r="D9" i="9" s="1"/>
  <c r="O168" i="1"/>
  <c r="D8" i="8" l="1"/>
  <c r="E8" i="8" s="1"/>
  <c r="F92" i="2"/>
  <c r="F93" i="2" s="1"/>
  <c r="F94" i="2" s="1"/>
  <c r="F95" i="2" s="1"/>
  <c r="F96" i="2" s="1"/>
  <c r="F97" i="2" s="1"/>
  <c r="F98" i="2" s="1"/>
  <c r="F99" i="2" s="1"/>
  <c r="F100" i="2" s="1"/>
  <c r="F101" i="2" s="1"/>
  <c r="D34" i="9"/>
  <c r="D15" i="9"/>
  <c r="D16" i="9" s="1"/>
  <c r="D10" i="8" l="1"/>
  <c r="E10" i="8" s="1"/>
  <c r="D14" i="8" l="1"/>
  <c r="D16" i="8" s="1"/>
  <c r="D20" i="9" s="1"/>
  <c r="D21" i="9" s="1"/>
  <c r="D35" i="9" s="1"/>
  <c r="E16" i="8" l="1"/>
  <c r="E14" i="8"/>
</calcChain>
</file>

<file path=xl/sharedStrings.xml><?xml version="1.0" encoding="utf-8"?>
<sst xmlns="http://schemas.openxmlformats.org/spreadsheetml/2006/main" count="1137" uniqueCount="300">
  <si>
    <t>كود الحساب</t>
  </si>
  <si>
    <t>اسم الحساب</t>
  </si>
  <si>
    <t>طبيعه الحساب</t>
  </si>
  <si>
    <t>القائمه</t>
  </si>
  <si>
    <t>المستوي</t>
  </si>
  <si>
    <t>نوع الحساب</t>
  </si>
  <si>
    <t>رصيد اول المده</t>
  </si>
  <si>
    <t>حركه الفتره</t>
  </si>
  <si>
    <t>رصيد اخر المده</t>
  </si>
  <si>
    <t>التبويب بالقائمه</t>
  </si>
  <si>
    <t>التبويب الرئيسي</t>
  </si>
  <si>
    <t>مدين</t>
  </si>
  <si>
    <t>دائن</t>
  </si>
  <si>
    <t>الصافي</t>
  </si>
  <si>
    <t>الاصول</t>
  </si>
  <si>
    <t>المركز المالي</t>
  </si>
  <si>
    <t>رئيسي</t>
  </si>
  <si>
    <t>اصول غير متداوله</t>
  </si>
  <si>
    <t>الاصول الثابته</t>
  </si>
  <si>
    <t xml:space="preserve">الاراضي </t>
  </si>
  <si>
    <t>فرعي</t>
  </si>
  <si>
    <t>المباني</t>
  </si>
  <si>
    <t>الاثاث والمعدات</t>
  </si>
  <si>
    <t>السيارات</t>
  </si>
  <si>
    <t>اجهزه الحاسب</t>
  </si>
  <si>
    <t>مجمع الاهلاك</t>
  </si>
  <si>
    <t>الاستثمارات طويله الاجل</t>
  </si>
  <si>
    <t>استثمارات في شركات شقيقه</t>
  </si>
  <si>
    <t>سندات طويله الاجل</t>
  </si>
  <si>
    <t>الودائع والتامينات طويله الاجل</t>
  </si>
  <si>
    <t>ودائع وتأمينات طويله الاجل</t>
  </si>
  <si>
    <t>اصول متداوله</t>
  </si>
  <si>
    <t>النقديه وما في حكمها</t>
  </si>
  <si>
    <t>الصندوق الرئيسي</t>
  </si>
  <si>
    <t>النقديه زما في حكمها</t>
  </si>
  <si>
    <t>الصندوق الفرعي</t>
  </si>
  <si>
    <t>حساب البنك الاهلي</t>
  </si>
  <si>
    <t>حساب بنك مصر</t>
  </si>
  <si>
    <t>حساب بنك الCIB</t>
  </si>
  <si>
    <t>شيكات تحت التحصيل</t>
  </si>
  <si>
    <t>العملاء والمدينون</t>
  </si>
  <si>
    <t>العملاء المحليون</t>
  </si>
  <si>
    <t>العملاء الخارجيون</t>
  </si>
  <si>
    <t>المخزون</t>
  </si>
  <si>
    <t>مخزون بضاعه تامه</t>
  </si>
  <si>
    <t>مخزون تحت الفحص</t>
  </si>
  <si>
    <t>المصروفات المقدم</t>
  </si>
  <si>
    <t>ايجار مقدم</t>
  </si>
  <si>
    <t>تأمينات مقدمه</t>
  </si>
  <si>
    <t>ارصده مدينه اخري</t>
  </si>
  <si>
    <t>ضريبه القيمه المضافه للمدخلات</t>
  </si>
  <si>
    <t>السلف المؤقته</t>
  </si>
  <si>
    <t>العهد تحت التسويه</t>
  </si>
  <si>
    <t>دفعات مقدمه للموردين</t>
  </si>
  <si>
    <t>المستحق من الشركاء</t>
  </si>
  <si>
    <t>المستحق من الشريك عبدالله</t>
  </si>
  <si>
    <t>المستحق من الشريك محمد</t>
  </si>
  <si>
    <t>المستحق من الشريك خالد</t>
  </si>
  <si>
    <t>الالتزامات وحقوق الملكيه</t>
  </si>
  <si>
    <t>حقوق الملكيه</t>
  </si>
  <si>
    <t>راس المال</t>
  </si>
  <si>
    <t>الاحتياطيات</t>
  </si>
  <si>
    <t>الارباح  المرحله</t>
  </si>
  <si>
    <t>ارباح مبقاه</t>
  </si>
  <si>
    <t>ارباح وخسائر العام</t>
  </si>
  <si>
    <t>التزامات غير متداوله</t>
  </si>
  <si>
    <t>القروض طويله الاجل</t>
  </si>
  <si>
    <t>قروض بنكيه طويله الاجل</t>
  </si>
  <si>
    <t>فوائد قروض طويله الاجل</t>
  </si>
  <si>
    <t>مخصص اهلاك ممتلكات ومعدات</t>
  </si>
  <si>
    <t>مخصص اهلاك مباني</t>
  </si>
  <si>
    <t>مخصص اهلاك اثاث ومعدات</t>
  </si>
  <si>
    <t>مخصص اهلاك سيارات</t>
  </si>
  <si>
    <t>مخصص اهلاك اجهزه حاسب</t>
  </si>
  <si>
    <t>مخصصات اخري</t>
  </si>
  <si>
    <t>مخصص ديون مشكوك فيها</t>
  </si>
  <si>
    <t>مخصص بضاعه راكده</t>
  </si>
  <si>
    <t>مخصص مكافأه ترك الخدمه</t>
  </si>
  <si>
    <t>التزامات للموظفين</t>
  </si>
  <si>
    <t>مخصص ضمان منتجات</t>
  </si>
  <si>
    <t>التزامات ضمان</t>
  </si>
  <si>
    <t>التزامات طويله الاجل اخري</t>
  </si>
  <si>
    <t>التزامات تمويل شراء اصول</t>
  </si>
  <si>
    <t>التزامات متداوله</t>
  </si>
  <si>
    <t>الدائنون والموردون</t>
  </si>
  <si>
    <t>موردون محليون</t>
  </si>
  <si>
    <t>موردون خارجيون</t>
  </si>
  <si>
    <t>شيكات صادره لم تورد بعد</t>
  </si>
  <si>
    <t>دفعات مقدمه من العملاء</t>
  </si>
  <si>
    <t>المصروفات المستحقه</t>
  </si>
  <si>
    <t>اجور ورواتب مستحقه</t>
  </si>
  <si>
    <t>كهرباء ومياه وهاتف مستحق</t>
  </si>
  <si>
    <t>ايجار مستحق</t>
  </si>
  <si>
    <t>فوائد مستحقه الدفع</t>
  </si>
  <si>
    <t>الضرائب والرسوم المستحقه</t>
  </si>
  <si>
    <t>ضرائب دخل مستحقه</t>
  </si>
  <si>
    <t>ضرائب مبيعات/قيمه مضافه</t>
  </si>
  <si>
    <t>تأمينات أجتماعيه مستحقه</t>
  </si>
  <si>
    <t>مصلحه الضرائب</t>
  </si>
  <si>
    <t>ارصده دائنه اخري</t>
  </si>
  <si>
    <t xml:space="preserve">عهد موظفين </t>
  </si>
  <si>
    <t>ارباح تحت التوزيع</t>
  </si>
  <si>
    <t>تأمينات مستلمه من الغير</t>
  </si>
  <si>
    <t>المستحق الي الشركاء</t>
  </si>
  <si>
    <t>المستحق الي الشريك  عبدالله</t>
  </si>
  <si>
    <t xml:space="preserve">المستحق الي الشريك محمد  </t>
  </si>
  <si>
    <t xml:space="preserve">المستحق الي الشريك خالد  </t>
  </si>
  <si>
    <t>الايرادات</t>
  </si>
  <si>
    <t>قائمه الدخل</t>
  </si>
  <si>
    <t>ايرادات النشاط الرئيسي</t>
  </si>
  <si>
    <t>مبيعات محليه</t>
  </si>
  <si>
    <t>مبيعات جمله</t>
  </si>
  <si>
    <t>مبيعات تجزئه</t>
  </si>
  <si>
    <t>مبيعات عبر الانترنت</t>
  </si>
  <si>
    <t>مردودات المبيعات</t>
  </si>
  <si>
    <t>مبيعات خارجيه/تصدير</t>
  </si>
  <si>
    <t>مبيعات تصدير مباشره</t>
  </si>
  <si>
    <t>خصم صادرات</t>
  </si>
  <si>
    <t>ايرادات خدمات اضافيه</t>
  </si>
  <si>
    <t>رسوم شحن وتوصيل</t>
  </si>
  <si>
    <t>عمولات بيع</t>
  </si>
  <si>
    <t>خدمات ما بعد البيع</t>
  </si>
  <si>
    <t>ايرادات اخري</t>
  </si>
  <si>
    <t>ايرادات فوائد</t>
  </si>
  <si>
    <t>فوائد ودائع بنكيه</t>
  </si>
  <si>
    <t>فوائد علي العملاء</t>
  </si>
  <si>
    <t>ايرادات ايجارات</t>
  </si>
  <si>
    <t>ايجار اصول مملوكه للشركه</t>
  </si>
  <si>
    <t>ايرادات استثمارات</t>
  </si>
  <si>
    <t>توزيعات ارباح من شركات تابعه</t>
  </si>
  <si>
    <t>ارباح بيع استثمارات</t>
  </si>
  <si>
    <t>ايرادات متنوعه اخري</t>
  </si>
  <si>
    <t>ارباح بيع اصول ثابته</t>
  </si>
  <si>
    <t>ايردات عرضيه</t>
  </si>
  <si>
    <t>المصروفات</t>
  </si>
  <si>
    <t xml:space="preserve"> تكلفه البضاعه المباعه</t>
  </si>
  <si>
    <t>مشتريات بضاعه</t>
  </si>
  <si>
    <t>مشتريات محليه</t>
  </si>
  <si>
    <t>مشتريات خارجيه/استيراد</t>
  </si>
  <si>
    <t>خصم مكتسب</t>
  </si>
  <si>
    <t>مردودات المشتريات</t>
  </si>
  <si>
    <t>مصاريف شراء</t>
  </si>
  <si>
    <t>شحن ونقل</t>
  </si>
  <si>
    <t>تأمين علي الشحنات</t>
  </si>
  <si>
    <t>تخليص جمركي</t>
  </si>
  <si>
    <t>تكلفه المخزون</t>
  </si>
  <si>
    <t>بضاعه اول المده</t>
  </si>
  <si>
    <t>بضاعه اخر المده</t>
  </si>
  <si>
    <t>مصروفات التشغيل</t>
  </si>
  <si>
    <t>مصروفات البيع والتوزيع</t>
  </si>
  <si>
    <t>مرتبات مندوبي المبيعات</t>
  </si>
  <si>
    <t>مصاريف دعايه واعلان</t>
  </si>
  <si>
    <t>مصاريف نقل وتوصيل</t>
  </si>
  <si>
    <t>مصروفات اداريه وعموميه</t>
  </si>
  <si>
    <t>رواتب الموظفين</t>
  </si>
  <si>
    <t xml:space="preserve"> مصروف ايجار</t>
  </si>
  <si>
    <t xml:space="preserve">كهرباء ومياه وهاتف </t>
  </si>
  <si>
    <t>ادوات مكتبيه ومطبوعات</t>
  </si>
  <si>
    <t>صيانه اجهزه ومعدات</t>
  </si>
  <si>
    <t>اشتراكات وبرامج</t>
  </si>
  <si>
    <t>مصروفات ماليه</t>
  </si>
  <si>
    <t>مصروفات فوائد</t>
  </si>
  <si>
    <t>فوائد قروض قصيره الاجل</t>
  </si>
  <si>
    <t>مصاريف بنكيه</t>
  </si>
  <si>
    <t>مصروفات اخري</t>
  </si>
  <si>
    <t>خسائر بيع اصول ثابته</t>
  </si>
  <si>
    <t>تلف مخزون</t>
  </si>
  <si>
    <t>مصاريف مكافأه ترك الخدمه</t>
  </si>
  <si>
    <t>مصاريف تأمينات</t>
  </si>
  <si>
    <t>فروق تقييم عملات</t>
  </si>
  <si>
    <t>مصروف ديون مشكوك في تحصيلها</t>
  </si>
  <si>
    <t>مصروف ضمان منتجات</t>
  </si>
  <si>
    <t>مصروفات عرضيه اخري</t>
  </si>
  <si>
    <t>مصروف ضرائب</t>
  </si>
  <si>
    <t xml:space="preserve"> اهلاك مباني</t>
  </si>
  <si>
    <t xml:space="preserve"> اهلاك اثاث ومعدات</t>
  </si>
  <si>
    <t xml:space="preserve"> اهلاك سيارات</t>
  </si>
  <si>
    <t xml:space="preserve"> اهلاك اجهزه حاسب</t>
  </si>
  <si>
    <t>الاجمالي</t>
  </si>
  <si>
    <t>قيود اليوميه لعام 2025</t>
  </si>
  <si>
    <t>التاريخ</t>
  </si>
  <si>
    <t>رقم القيد</t>
  </si>
  <si>
    <t xml:space="preserve">مدين </t>
  </si>
  <si>
    <t>رصيد</t>
  </si>
  <si>
    <t>رقم احساب</t>
  </si>
  <si>
    <t>الوصف</t>
  </si>
  <si>
    <t>رقم الجهه</t>
  </si>
  <si>
    <t>اسم الجهه</t>
  </si>
  <si>
    <t>نوع الجهه</t>
  </si>
  <si>
    <t>اثبات راس مال الشركه</t>
  </si>
  <si>
    <t>ايداع راس مال الشركه</t>
  </si>
  <si>
    <t xml:space="preserve">سداد ايجار المستودع </t>
  </si>
  <si>
    <t>15/4/2025</t>
  </si>
  <si>
    <t>سداد ايجار معدات</t>
  </si>
  <si>
    <t>31/5/2025</t>
  </si>
  <si>
    <t xml:space="preserve">استحقاق مايو من الاجارات </t>
  </si>
  <si>
    <t>اقفال ما يخص مايو من الايجار المدفوع مقدما</t>
  </si>
  <si>
    <t>31/5/2026</t>
  </si>
  <si>
    <t>شراء سيارات</t>
  </si>
  <si>
    <t>شراء اجهزه حاسب</t>
  </si>
  <si>
    <t>شراء اثاث ومعدات</t>
  </si>
  <si>
    <t>15/10/2025</t>
  </si>
  <si>
    <t>سلفه للموظف احمد</t>
  </si>
  <si>
    <t>15/11/2025</t>
  </si>
  <si>
    <t>سداد جزء من السلفه</t>
  </si>
  <si>
    <t>29/11/2025</t>
  </si>
  <si>
    <t>اثبات استحقاق رواتب موفمبر</t>
  </si>
  <si>
    <t>29/11/2026</t>
  </si>
  <si>
    <t>سداد رواتب نوفمبر</t>
  </si>
  <si>
    <t>مبيعات لعملاء محليون</t>
  </si>
  <si>
    <t>مشتريات من موردين محليين</t>
  </si>
  <si>
    <t>تسويه الضرائب</t>
  </si>
  <si>
    <t>سداد المستحق للمصلحه</t>
  </si>
  <si>
    <t>سداد دفعه من قيمه المشتريات</t>
  </si>
  <si>
    <t>15/12/2025</t>
  </si>
  <si>
    <t>تحصيل دفعه من العملاء</t>
  </si>
  <si>
    <t>31/12/2025</t>
  </si>
  <si>
    <t>مصروف اهلاك اثاث ومعدات</t>
  </si>
  <si>
    <t>ضرائب للمصلحه</t>
  </si>
  <si>
    <t>قائمه الدخل عن عام 2025</t>
  </si>
  <si>
    <t>التبويب</t>
  </si>
  <si>
    <t>مجمل الربح</t>
  </si>
  <si>
    <t>الربح التشغيلي</t>
  </si>
  <si>
    <t xml:space="preserve"> الربح قبل االضريبه</t>
  </si>
  <si>
    <t>صافي الربح</t>
  </si>
  <si>
    <t>قائمه المركز المالي عن عام 2025</t>
  </si>
  <si>
    <t>2025 عام</t>
  </si>
  <si>
    <t>اجمالي الاصول غير المتداوله</t>
  </si>
  <si>
    <t>اجمالي الاصول  المتداوله</t>
  </si>
  <si>
    <t xml:space="preserve">اجمالي الاصول  </t>
  </si>
  <si>
    <t>اجمالي حقوق الملكيه</t>
  </si>
  <si>
    <t>اجمالي التزامات غير متداوله</t>
  </si>
  <si>
    <t>اجمالي التزامات متداوله</t>
  </si>
  <si>
    <t xml:space="preserve">اجمالي الالتزامات وحقوق الملكيه </t>
  </si>
  <si>
    <t>رقم العمليه</t>
  </si>
  <si>
    <t>نوع العمليه</t>
  </si>
  <si>
    <t xml:space="preserve">الشهر </t>
  </si>
  <si>
    <t>كود الصنف</t>
  </si>
  <si>
    <t>اسم الصنف</t>
  </si>
  <si>
    <t>وحده القياس</t>
  </si>
  <si>
    <t>اول المده</t>
  </si>
  <si>
    <t>وارد</t>
  </si>
  <si>
    <t>صادر</t>
  </si>
  <si>
    <t>الرصيد</t>
  </si>
  <si>
    <t>السعر للوحده</t>
  </si>
  <si>
    <t>القيمه الاجماليه</t>
  </si>
  <si>
    <t>تكلفه الوحده</t>
  </si>
  <si>
    <t>كود المورد</t>
  </si>
  <si>
    <t>اسم المورد</t>
  </si>
  <si>
    <t>رقم الفاتوره</t>
  </si>
  <si>
    <t xml:space="preserve">كود العميل </t>
  </si>
  <si>
    <t>اسم العميل</t>
  </si>
  <si>
    <t>سند ادخال</t>
  </si>
  <si>
    <t>سند صرف</t>
  </si>
  <si>
    <t xml:space="preserve">كود الصنف </t>
  </si>
  <si>
    <t>كود العميل</t>
  </si>
  <si>
    <t>صنف1</t>
  </si>
  <si>
    <t>متر</t>
  </si>
  <si>
    <t>المورد رقم1</t>
  </si>
  <si>
    <t>عميل 1</t>
  </si>
  <si>
    <t>صنف2</t>
  </si>
  <si>
    <t>كيلو</t>
  </si>
  <si>
    <t>المورد رقم2</t>
  </si>
  <si>
    <t>عميل 2</t>
  </si>
  <si>
    <t>صنف3</t>
  </si>
  <si>
    <t>حبه</t>
  </si>
  <si>
    <t>المورد رقم3</t>
  </si>
  <si>
    <t>عميل 3</t>
  </si>
  <si>
    <t xml:space="preserve">الوصف </t>
  </si>
  <si>
    <t xml:space="preserve">المبلغ </t>
  </si>
  <si>
    <t>من</t>
  </si>
  <si>
    <t>الي</t>
  </si>
  <si>
    <t>اجمالي 2025</t>
  </si>
  <si>
    <t>المبتقي</t>
  </si>
  <si>
    <t>سداد ايجار المستودع الرئيسي</t>
  </si>
  <si>
    <t>كود الاصل</t>
  </si>
  <si>
    <t>تاريخ الشراء</t>
  </si>
  <si>
    <t>معدل الاهلاك</t>
  </si>
  <si>
    <t>القيمه</t>
  </si>
  <si>
    <t>مجمع الاهلاك السابق</t>
  </si>
  <si>
    <t>مجمع الاهلاك الحالي</t>
  </si>
  <si>
    <t>صافي قيمه الاصل</t>
  </si>
  <si>
    <t>A-001</t>
  </si>
  <si>
    <t>سياره رقم****</t>
  </si>
  <si>
    <t>B-001</t>
  </si>
  <si>
    <t>احهزه حاسب</t>
  </si>
  <si>
    <t>15/2/2025</t>
  </si>
  <si>
    <t>C-001</t>
  </si>
  <si>
    <t>الات ومعدات</t>
  </si>
  <si>
    <t>18/2/2025</t>
  </si>
  <si>
    <t>مورد 1</t>
  </si>
  <si>
    <t xml:space="preserve">مورد </t>
  </si>
  <si>
    <t>مورد2</t>
  </si>
  <si>
    <t>مورد3</t>
  </si>
  <si>
    <t>عميل</t>
  </si>
  <si>
    <t>احمد علي</t>
  </si>
  <si>
    <t>موظف</t>
  </si>
  <si>
    <t>محمود علي</t>
  </si>
  <si>
    <t>الاهلاك السنوي</t>
  </si>
  <si>
    <t>التغير في المخزون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</si>
</sst>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22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8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43" fontId="1" fillId="3" borderId="0" xfId="1" applyFont="1" applyFill="1" applyAlignment="1">
      <alignment horizontal="center" vertical="center"/>
    </xf>
    <xf numFmtId="43" fontId="1" fillId="4" borderId="0" xfId="1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43" fontId="1" fillId="0" borderId="0" xfId="1" applyFont="1" applyAlignment="1">
      <alignment horizontal="center" vertical="center"/>
    </xf>
    <xf numFmtId="43" fontId="1" fillId="5" borderId="0" xfId="1" applyFont="1" applyFill="1" applyAlignment="1">
      <alignment horizontal="center" vertical="center"/>
    </xf>
    <xf numFmtId="0" fontId="1" fillId="7" borderId="0" xfId="0" applyFont="1" applyFill="1" applyAlignment="1">
      <alignment horizontal="center"/>
    </xf>
    <xf numFmtId="43" fontId="1" fillId="0" borderId="0" xfId="0" applyNumberFormat="1" applyFont="1" applyAlignment="1">
      <alignment horizontal="left" vertical="center"/>
    </xf>
    <xf numFmtId="43" fontId="1" fillId="0" borderId="0" xfId="0" applyNumberFormat="1" applyFont="1" applyAlignment="1">
      <alignment horizontal="center" vertical="center"/>
    </xf>
    <xf numFmtId="0" fontId="0" fillId="6" borderId="0" xfId="0" applyFill="1"/>
    <xf numFmtId="17" fontId="0" fillId="6" borderId="0" xfId="0" applyNumberFormat="1" applyFill="1"/>
    <xf numFmtId="0" fontId="0" fillId="4" borderId="0" xfId="0" applyFill="1"/>
    <xf numFmtId="14" fontId="0" fillId="0" borderId="0" xfId="0" applyNumberFormat="1"/>
    <xf numFmtId="0" fontId="0" fillId="5" borderId="0" xfId="0" applyFill="1"/>
    <xf numFmtId="0" fontId="1" fillId="8" borderId="0" xfId="0" applyFont="1" applyFill="1"/>
    <xf numFmtId="0" fontId="1" fillId="8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40" fontId="1" fillId="4" borderId="0" xfId="1" applyNumberFormat="1" applyFont="1" applyFill="1" applyAlignment="1">
      <alignment horizontal="center" vertical="center"/>
    </xf>
    <xf numFmtId="40" fontId="1" fillId="0" borderId="0" xfId="0" applyNumberFormat="1" applyFont="1" applyAlignment="1">
      <alignment horizontal="center" vertical="center"/>
    </xf>
    <xf numFmtId="40" fontId="1" fillId="4" borderId="0" xfId="0" applyNumberFormat="1" applyFont="1" applyFill="1" applyAlignment="1">
      <alignment horizontal="center" vertical="center"/>
    </xf>
    <xf numFmtId="40" fontId="1" fillId="5" borderId="0" xfId="0" applyNumberFormat="1" applyFont="1" applyFill="1" applyAlignment="1">
      <alignment horizontal="center" vertical="center"/>
    </xf>
    <xf numFmtId="0" fontId="1" fillId="2" borderId="0" xfId="0" applyFont="1" applyFill="1"/>
    <xf numFmtId="0" fontId="0" fillId="2" borderId="0" xfId="0" applyFill="1"/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 vertical="center"/>
    </xf>
    <xf numFmtId="40" fontId="1" fillId="0" borderId="0" xfId="0" applyNumberFormat="1" applyFont="1" applyAlignment="1">
      <alignment horizontal="center"/>
    </xf>
    <xf numFmtId="0" fontId="1" fillId="7" borderId="0" xfId="0" applyFont="1" applyFill="1" applyAlignment="1">
      <alignment horizontal="center" vertical="center"/>
    </xf>
    <xf numFmtId="40" fontId="1" fillId="8" borderId="0" xfId="0" applyNumberFormat="1" applyFont="1" applyFill="1" applyAlignment="1">
      <alignment horizontal="center"/>
    </xf>
    <xf numFmtId="40" fontId="0" fillId="0" borderId="0" xfId="0" applyNumberFormat="1"/>
    <xf numFmtId="0" fontId="1" fillId="9" borderId="0" xfId="0" applyFont="1" applyFill="1" applyAlignment="1">
      <alignment horizontal="center"/>
    </xf>
    <xf numFmtId="0" fontId="0" fillId="8" borderId="0" xfId="0" applyFill="1"/>
    <xf numFmtId="40" fontId="1" fillId="0" borderId="0" xfId="0" applyNumberFormat="1" applyFont="1"/>
    <xf numFmtId="0" fontId="1" fillId="10" borderId="0" xfId="0" applyFont="1" applyFill="1"/>
    <xf numFmtId="40" fontId="1" fillId="10" borderId="0" xfId="0" applyNumberFormat="1" applyFont="1" applyFill="1"/>
    <xf numFmtId="9" fontId="1" fillId="10" borderId="0" xfId="2" applyFont="1" applyFill="1"/>
    <xf numFmtId="0" fontId="1" fillId="0" borderId="0" xfId="0" applyFont="1"/>
    <xf numFmtId="0" fontId="1" fillId="10" borderId="0" xfId="0" applyFont="1" applyFill="1" applyAlignment="1">
      <alignment horizontal="center" vertical="center"/>
    </xf>
    <xf numFmtId="40" fontId="1" fillId="10" borderId="0" xfId="0" applyNumberFormat="1" applyFont="1" applyFill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43" fontId="2" fillId="11" borderId="0" xfId="1" applyFont="1" applyFill="1" applyAlignment="1">
      <alignment horizontal="center" vertical="center"/>
    </xf>
    <xf numFmtId="43" fontId="0" fillId="11" borderId="0" xfId="1" applyFont="1" applyFill="1" applyAlignment="1">
      <alignment horizontal="center" vertical="center"/>
    </xf>
    <xf numFmtId="43" fontId="0" fillId="0" borderId="0" xfId="1" applyFont="1"/>
    <xf numFmtId="43" fontId="1" fillId="9" borderId="0" xfId="1" applyFont="1" applyFill="1" applyAlignment="1">
      <alignment horizontal="center" vertical="center"/>
    </xf>
    <xf numFmtId="43" fontId="1" fillId="8" borderId="0" xfId="1" applyFont="1" applyFill="1" applyAlignment="1">
      <alignment horizontal="center" vertical="center"/>
    </xf>
    <xf numFmtId="40" fontId="1" fillId="8" borderId="0" xfId="1" applyNumberFormat="1" applyFont="1" applyFill="1" applyAlignment="1">
      <alignment horizontal="center" vertical="center"/>
    </xf>
    <xf numFmtId="43" fontId="1" fillId="10" borderId="0" xfId="1" applyFont="1" applyFill="1" applyAlignment="1">
      <alignment horizontal="center" vertical="center"/>
    </xf>
    <xf numFmtId="43" fontId="1" fillId="6" borderId="0" xfId="1" applyFont="1" applyFill="1" applyAlignment="1">
      <alignment horizontal="center" vertical="center"/>
    </xf>
    <xf numFmtId="0" fontId="1" fillId="6" borderId="0" xfId="0" applyFont="1" applyFill="1"/>
    <xf numFmtId="0" fontId="1" fillId="4" borderId="0" xfId="0" applyFont="1" applyFill="1"/>
    <xf numFmtId="0" fontId="1" fillId="6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43" fontId="1" fillId="6" borderId="0" xfId="1" applyFont="1" applyFill="1" applyAlignment="1">
      <alignment horizontal="center"/>
    </xf>
    <xf numFmtId="43" fontId="1" fillId="10" borderId="0" xfId="1" applyFont="1" applyFill="1" applyAlignment="1">
      <alignment horizontal="center"/>
    </xf>
    <xf numFmtId="43" fontId="1" fillId="4" borderId="0" xfId="1" applyFont="1" applyFill="1" applyAlignment="1">
      <alignment horizontal="center"/>
    </xf>
    <xf numFmtId="43" fontId="1" fillId="9" borderId="0" xfId="1" applyFont="1" applyFill="1" applyAlignment="1">
      <alignment horizontal="center"/>
    </xf>
    <xf numFmtId="40" fontId="1" fillId="10" borderId="0" xfId="1" applyNumberFormat="1" applyFont="1" applyFill="1" applyAlignment="1">
      <alignment horizontal="center" vertical="center"/>
    </xf>
    <xf numFmtId="43" fontId="2" fillId="5" borderId="0" xfId="1" applyFont="1" applyFill="1" applyAlignment="1">
      <alignment vertical="center"/>
    </xf>
    <xf numFmtId="0" fontId="2" fillId="5" borderId="0" xfId="0" applyFont="1" applyFill="1" applyAlignment="1">
      <alignment vertical="center"/>
    </xf>
    <xf numFmtId="43" fontId="2" fillId="1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3" fontId="2" fillId="10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40" fontId="2" fillId="10" borderId="0" xfId="1" applyNumberFormat="1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Q170"/>
  <sheetViews>
    <sheetView rightToLeft="1" topLeftCell="C1" zoomScale="62" zoomScaleNormal="62" workbookViewId="0">
      <pane ySplit="1" topLeftCell="A2" activePane="bottomLeft" state="frozen"/>
      <selection pane="bottomLeft" activeCell="N10" sqref="N10"/>
    </sheetView>
  </sheetViews>
  <sheetFormatPr defaultColWidth="9" defaultRowHeight="15"/>
  <cols>
    <col min="3" max="3" width="14.5703125" customWidth="1"/>
    <col min="4" max="4" width="37" customWidth="1"/>
    <col min="5" max="5" width="16.85546875" customWidth="1"/>
    <col min="6" max="6" width="13.85546875" customWidth="1"/>
    <col min="7" max="7" width="10.140625" customWidth="1"/>
    <col min="8" max="8" width="13.85546875" customWidth="1"/>
    <col min="9" max="9" width="11.140625" customWidth="1"/>
    <col min="10" max="10" width="10.28515625" customWidth="1"/>
    <col min="11" max="13" width="23.85546875" customWidth="1"/>
    <col min="14" max="15" width="25" customWidth="1"/>
    <col min="16" max="16" width="32.7109375" customWidth="1"/>
    <col min="17" max="17" width="25.28515625" customWidth="1"/>
  </cols>
  <sheetData>
    <row r="3" spans="3:17" ht="12" customHeight="1"/>
    <row r="4" spans="3:17" ht="16.5" customHeight="1">
      <c r="C4" s="72" t="s">
        <v>0</v>
      </c>
      <c r="D4" s="72" t="s">
        <v>1</v>
      </c>
      <c r="E4" s="72" t="s">
        <v>2</v>
      </c>
      <c r="F4" s="72" t="s">
        <v>3</v>
      </c>
      <c r="G4" s="72" t="s">
        <v>4</v>
      </c>
      <c r="H4" s="72" t="s">
        <v>5</v>
      </c>
      <c r="I4" s="72" t="s">
        <v>6</v>
      </c>
      <c r="J4" s="72"/>
      <c r="K4" s="72" t="s">
        <v>7</v>
      </c>
      <c r="L4" s="72"/>
      <c r="M4" s="72" t="s">
        <v>8</v>
      </c>
      <c r="N4" s="72"/>
      <c r="O4" s="1"/>
      <c r="P4" s="72" t="s">
        <v>9</v>
      </c>
      <c r="Q4" s="72" t="s">
        <v>10</v>
      </c>
    </row>
    <row r="5" spans="3:17" ht="23.25" customHeight="1">
      <c r="C5" s="72"/>
      <c r="D5" s="72"/>
      <c r="E5" s="72"/>
      <c r="F5" s="72"/>
      <c r="G5" s="72"/>
      <c r="H5" s="72"/>
      <c r="I5" s="1" t="s">
        <v>11</v>
      </c>
      <c r="J5" s="1" t="s">
        <v>12</v>
      </c>
      <c r="K5" s="1" t="s">
        <v>11</v>
      </c>
      <c r="L5" s="1" t="s">
        <v>12</v>
      </c>
      <c r="M5" s="1" t="s">
        <v>11</v>
      </c>
      <c r="N5" s="1" t="s">
        <v>12</v>
      </c>
      <c r="O5" s="1" t="s">
        <v>13</v>
      </c>
      <c r="P5" s="72"/>
      <c r="Q5" s="72"/>
    </row>
    <row r="6" spans="3:17" ht="21">
      <c r="C6" s="7">
        <v>1</v>
      </c>
      <c r="D6" s="7" t="s">
        <v>14</v>
      </c>
      <c r="E6" s="7" t="s">
        <v>11</v>
      </c>
      <c r="F6" s="7" t="s">
        <v>15</v>
      </c>
      <c r="G6" s="7">
        <v>1</v>
      </c>
      <c r="H6" s="7" t="s">
        <v>16</v>
      </c>
      <c r="I6" s="7"/>
      <c r="J6" s="7"/>
      <c r="K6" s="7"/>
      <c r="L6" s="7"/>
      <c r="M6" s="7"/>
      <c r="N6" s="7"/>
      <c r="O6" s="7"/>
      <c r="P6" s="7"/>
      <c r="Q6" s="7"/>
    </row>
    <row r="7" spans="3:17" ht="21">
      <c r="C7" s="43">
        <v>11</v>
      </c>
      <c r="D7" s="43" t="s">
        <v>17</v>
      </c>
      <c r="E7" s="43" t="s">
        <v>11</v>
      </c>
      <c r="F7" s="43" t="s">
        <v>15</v>
      </c>
      <c r="G7" s="43">
        <v>2</v>
      </c>
      <c r="H7" s="43" t="s">
        <v>16</v>
      </c>
      <c r="I7" s="43"/>
      <c r="J7" s="43"/>
      <c r="K7" s="43"/>
      <c r="L7" s="43"/>
      <c r="M7" s="43"/>
      <c r="N7" s="43"/>
      <c r="O7" s="43"/>
      <c r="P7" s="43"/>
      <c r="Q7" s="43"/>
    </row>
    <row r="8" spans="3:17" ht="21">
      <c r="C8" s="23">
        <v>111</v>
      </c>
      <c r="D8" s="23" t="s">
        <v>18</v>
      </c>
      <c r="E8" s="23" t="s">
        <v>11</v>
      </c>
      <c r="F8" s="23" t="s">
        <v>15</v>
      </c>
      <c r="G8" s="23">
        <v>3</v>
      </c>
      <c r="H8" s="23" t="s">
        <v>16</v>
      </c>
      <c r="I8" s="23"/>
      <c r="J8" s="23"/>
      <c r="K8" s="23"/>
      <c r="L8" s="23"/>
      <c r="M8" s="23"/>
      <c r="N8" s="23"/>
      <c r="O8" s="23"/>
      <c r="P8" s="23"/>
      <c r="Q8" s="23"/>
    </row>
    <row r="9" spans="3:17" ht="21">
      <c r="C9" s="31">
        <v>111000</v>
      </c>
      <c r="D9" s="31" t="s">
        <v>19</v>
      </c>
      <c r="E9" s="31" t="s">
        <v>11</v>
      </c>
      <c r="F9" s="31" t="s">
        <v>15</v>
      </c>
      <c r="G9" s="31">
        <v>4</v>
      </c>
      <c r="H9" s="31" t="s">
        <v>20</v>
      </c>
      <c r="I9" s="52"/>
      <c r="J9" s="52"/>
      <c r="K9" s="53">
        <f>SUMIF('قيود اليوميه'!G:G,'ميزان المراجعه'!C9,'قيود اليوميه'!D:D)</f>
        <v>0</v>
      </c>
      <c r="L9" s="53"/>
      <c r="M9" s="53" t="str">
        <f>IF(I9-J9+K9-L9&gt;0,I9-J9+K9-L9,"")</f>
        <v/>
      </c>
      <c r="N9" s="53" t="str">
        <f>IF(J9-I9+L9-K9&gt;0,J9-I9+L9-K9,"")</f>
        <v/>
      </c>
      <c r="O9" s="54" t="str">
        <f>IFERROR(IF(N9&lt;&gt;"",N9,M9*-1),"")</f>
        <v/>
      </c>
      <c r="P9" s="31" t="s">
        <v>18</v>
      </c>
      <c r="Q9" s="31" t="s">
        <v>17</v>
      </c>
    </row>
    <row r="10" spans="3:17" ht="21">
      <c r="C10" s="31">
        <v>111001</v>
      </c>
      <c r="D10" s="31" t="s">
        <v>21</v>
      </c>
      <c r="E10" s="31" t="s">
        <v>11</v>
      </c>
      <c r="F10" s="31" t="s">
        <v>15</v>
      </c>
      <c r="G10" s="31">
        <v>4</v>
      </c>
      <c r="H10" s="31" t="s">
        <v>20</v>
      </c>
      <c r="I10" s="52"/>
      <c r="J10" s="52"/>
      <c r="K10" s="53">
        <f>SUMIF('قيود اليوميه'!G:G,'ميزان المراجعه'!C10,'قيود اليوميه'!D:D)</f>
        <v>0</v>
      </c>
      <c r="L10" s="53">
        <f>SUMIF('قيود اليوميه'!G:G,'ميزان المراجعه'!C10,'قيود اليوميه'!E:E)</f>
        <v>0</v>
      </c>
      <c r="M10" s="53" t="str">
        <f t="shared" ref="M10:M14" si="0">IF(I10-J10+K10-L10&gt;0,I10-J10+K10-L10,"")</f>
        <v/>
      </c>
      <c r="N10" s="53" t="str">
        <f t="shared" ref="N10:N14" si="1">IF(J10-I10+L10-K10&gt;0,J10-I10+L10-K10,"")</f>
        <v/>
      </c>
      <c r="O10" s="54" t="str">
        <f t="shared" ref="O10:O73" si="2">IFERROR(IF(N10&lt;&gt;"",N10,M10*-1),"")</f>
        <v/>
      </c>
      <c r="P10" s="31" t="s">
        <v>18</v>
      </c>
      <c r="Q10" s="31" t="s">
        <v>17</v>
      </c>
    </row>
    <row r="11" spans="3:17" ht="21">
      <c r="C11" s="31">
        <v>111002</v>
      </c>
      <c r="D11" s="31" t="s">
        <v>22</v>
      </c>
      <c r="E11" s="31" t="s">
        <v>11</v>
      </c>
      <c r="F11" s="31" t="s">
        <v>15</v>
      </c>
      <c r="G11" s="31">
        <v>4</v>
      </c>
      <c r="H11" s="31" t="s">
        <v>20</v>
      </c>
      <c r="I11" s="52"/>
      <c r="J11" s="52"/>
      <c r="K11" s="53">
        <f>SUMIF('قيود اليوميه'!G:G,'ميزان المراجعه'!C11,'قيود اليوميه'!D:D)</f>
        <v>75000</v>
      </c>
      <c r="L11" s="53">
        <f>SUMIF('قيود اليوميه'!G:G,'ميزان المراجعه'!C11,'قيود اليوميه'!E:E)</f>
        <v>0</v>
      </c>
      <c r="M11" s="53">
        <f t="shared" si="0"/>
        <v>75000</v>
      </c>
      <c r="N11" s="53" t="str">
        <f t="shared" si="1"/>
        <v/>
      </c>
      <c r="O11" s="54">
        <f t="shared" si="2"/>
        <v>-75000</v>
      </c>
      <c r="P11" s="31" t="s">
        <v>18</v>
      </c>
      <c r="Q11" s="31" t="s">
        <v>17</v>
      </c>
    </row>
    <row r="12" spans="3:17" ht="21">
      <c r="C12" s="31">
        <v>111003</v>
      </c>
      <c r="D12" s="31" t="s">
        <v>23</v>
      </c>
      <c r="E12" s="31" t="s">
        <v>11</v>
      </c>
      <c r="F12" s="31" t="s">
        <v>15</v>
      </c>
      <c r="G12" s="31">
        <v>4</v>
      </c>
      <c r="H12" s="31" t="s">
        <v>20</v>
      </c>
      <c r="I12" s="52"/>
      <c r="J12" s="52"/>
      <c r="K12" s="53">
        <f>SUMIF('قيود اليوميه'!G:G,'ميزان المراجعه'!C12,'قيود اليوميه'!D:D)</f>
        <v>100000</v>
      </c>
      <c r="L12" s="53">
        <f>SUMIF('قيود اليوميه'!G:G,'ميزان المراجعه'!C12,'قيود اليوميه'!E:E)</f>
        <v>0</v>
      </c>
      <c r="M12" s="53">
        <f t="shared" si="0"/>
        <v>100000</v>
      </c>
      <c r="N12" s="53" t="str">
        <f t="shared" si="1"/>
        <v/>
      </c>
      <c r="O12" s="54">
        <f t="shared" si="2"/>
        <v>-100000</v>
      </c>
      <c r="P12" s="31" t="s">
        <v>18</v>
      </c>
      <c r="Q12" s="31" t="s">
        <v>17</v>
      </c>
    </row>
    <row r="13" spans="3:17" ht="21">
      <c r="C13" s="31">
        <v>111004</v>
      </c>
      <c r="D13" s="31" t="s">
        <v>24</v>
      </c>
      <c r="E13" s="31" t="s">
        <v>11</v>
      </c>
      <c r="F13" s="31" t="s">
        <v>15</v>
      </c>
      <c r="G13" s="31">
        <v>4</v>
      </c>
      <c r="H13" s="31" t="s">
        <v>20</v>
      </c>
      <c r="I13" s="52"/>
      <c r="J13" s="52"/>
      <c r="K13" s="53">
        <f>SUMIF('قيود اليوميه'!G:G,'ميزان المراجعه'!C13,'قيود اليوميه'!D:D)</f>
        <v>50000</v>
      </c>
      <c r="L13" s="53">
        <f>SUMIF('قيود اليوميه'!G:G,'ميزان المراجعه'!C13,'قيود اليوميه'!E:E)</f>
        <v>0</v>
      </c>
      <c r="M13" s="53">
        <f t="shared" si="0"/>
        <v>50000</v>
      </c>
      <c r="N13" s="53" t="str">
        <f t="shared" si="1"/>
        <v/>
      </c>
      <c r="O13" s="54">
        <f t="shared" si="2"/>
        <v>-50000</v>
      </c>
      <c r="P13" s="31" t="s">
        <v>18</v>
      </c>
      <c r="Q13" s="31" t="s">
        <v>17</v>
      </c>
    </row>
    <row r="14" spans="3:17" ht="21">
      <c r="C14" s="31">
        <v>111005</v>
      </c>
      <c r="D14" s="31" t="s">
        <v>25</v>
      </c>
      <c r="E14" s="31" t="s">
        <v>12</v>
      </c>
      <c r="F14" s="31" t="s">
        <v>15</v>
      </c>
      <c r="G14" s="31">
        <v>4</v>
      </c>
      <c r="H14" s="31" t="s">
        <v>20</v>
      </c>
      <c r="I14" s="52"/>
      <c r="J14" s="52"/>
      <c r="K14" s="53">
        <f>SUMIF('قيود اليوميه'!G:G,'ميزان المراجعه'!C14,'قيود اليوميه'!D:D)</f>
        <v>0</v>
      </c>
      <c r="L14" s="53">
        <f>SUMIF('قيود اليوميه'!G:G,'ميزان المراجعه'!C14,'قيود اليوميه'!E:E)</f>
        <v>16250</v>
      </c>
      <c r="M14" s="53" t="str">
        <f t="shared" si="0"/>
        <v/>
      </c>
      <c r="N14" s="53">
        <f t="shared" si="1"/>
        <v>16250</v>
      </c>
      <c r="O14" s="54">
        <f t="shared" si="2"/>
        <v>16250</v>
      </c>
      <c r="P14" s="31" t="s">
        <v>18</v>
      </c>
      <c r="Q14" s="31" t="s">
        <v>17</v>
      </c>
    </row>
    <row r="15" spans="3:17" ht="21">
      <c r="C15" s="23">
        <v>112</v>
      </c>
      <c r="D15" s="23" t="s">
        <v>26</v>
      </c>
      <c r="E15" s="23" t="s">
        <v>11</v>
      </c>
      <c r="F15" s="23" t="s">
        <v>15</v>
      </c>
      <c r="G15" s="23">
        <v>3</v>
      </c>
      <c r="H15" s="23" t="s">
        <v>16</v>
      </c>
      <c r="I15" s="23"/>
      <c r="J15" s="23"/>
      <c r="K15" s="5"/>
      <c r="L15" s="5"/>
      <c r="M15" s="5"/>
      <c r="N15" s="5"/>
      <c r="O15" s="5"/>
      <c r="P15" s="23"/>
      <c r="Q15" s="23"/>
    </row>
    <row r="16" spans="3:17" ht="21">
      <c r="C16" s="31">
        <v>112000</v>
      </c>
      <c r="D16" s="31" t="s">
        <v>27</v>
      </c>
      <c r="E16" s="31" t="s">
        <v>11</v>
      </c>
      <c r="F16" s="31" t="s">
        <v>15</v>
      </c>
      <c r="G16" s="31">
        <v>4</v>
      </c>
      <c r="H16" s="31" t="s">
        <v>20</v>
      </c>
      <c r="I16" s="52"/>
      <c r="J16" s="52"/>
      <c r="K16" s="53">
        <f>SUMIF('قيود اليوميه'!G:G,'ميزان المراجعه'!C16,'قيود اليوميه'!D:D)</f>
        <v>0</v>
      </c>
      <c r="L16" s="53">
        <f>SUMIF('قيود اليوميه'!G:G,'ميزان المراجعه'!C16,'قيود اليوميه'!E:E)</f>
        <v>0</v>
      </c>
      <c r="M16" s="53" t="str">
        <f t="shared" ref="M16:M17" si="3">IF(I16-J16+K16-L16&gt;0,I16-J16+K16-L16,"")</f>
        <v/>
      </c>
      <c r="N16" s="53" t="str">
        <f t="shared" ref="N16:N17" si="4">IF(J16-I16+L16-K16&gt;0,J16-I16+L16-K16,"")</f>
        <v/>
      </c>
      <c r="O16" s="54" t="str">
        <f t="shared" si="2"/>
        <v/>
      </c>
      <c r="P16" s="31" t="s">
        <v>26</v>
      </c>
      <c r="Q16" s="31" t="s">
        <v>17</v>
      </c>
    </row>
    <row r="17" spans="3:17" ht="21">
      <c r="C17" s="31">
        <v>112001</v>
      </c>
      <c r="D17" s="31" t="s">
        <v>28</v>
      </c>
      <c r="E17" s="31" t="s">
        <v>11</v>
      </c>
      <c r="F17" s="31" t="s">
        <v>15</v>
      </c>
      <c r="G17" s="31">
        <v>4</v>
      </c>
      <c r="H17" s="31" t="s">
        <v>20</v>
      </c>
      <c r="I17" s="52"/>
      <c r="J17" s="52"/>
      <c r="K17" s="53">
        <f>SUMIF('قيود اليوميه'!G:G,'ميزان المراجعه'!C17,'قيود اليوميه'!D:D)</f>
        <v>0</v>
      </c>
      <c r="L17" s="53">
        <f>SUMIF('قيود اليوميه'!G:G,'ميزان المراجعه'!C17,'قيود اليوميه'!E:E)</f>
        <v>0</v>
      </c>
      <c r="M17" s="53" t="str">
        <f t="shared" si="3"/>
        <v/>
      </c>
      <c r="N17" s="53" t="str">
        <f t="shared" si="4"/>
        <v/>
      </c>
      <c r="O17" s="54" t="str">
        <f t="shared" si="2"/>
        <v/>
      </c>
      <c r="P17" s="31" t="s">
        <v>26</v>
      </c>
      <c r="Q17" s="31" t="s">
        <v>17</v>
      </c>
    </row>
    <row r="18" spans="3:17" ht="21">
      <c r="C18" s="23">
        <v>113</v>
      </c>
      <c r="D18" s="23" t="s">
        <v>29</v>
      </c>
      <c r="E18" s="23" t="s">
        <v>11</v>
      </c>
      <c r="F18" s="23" t="s">
        <v>15</v>
      </c>
      <c r="G18" s="23">
        <v>3</v>
      </c>
      <c r="H18" s="23" t="s">
        <v>16</v>
      </c>
      <c r="I18" s="23"/>
      <c r="J18" s="23"/>
      <c r="K18" s="5"/>
      <c r="L18" s="5"/>
      <c r="M18" s="5"/>
      <c r="N18" s="5"/>
      <c r="O18" s="5"/>
      <c r="P18" s="23"/>
      <c r="Q18" s="23"/>
    </row>
    <row r="19" spans="3:17" ht="21">
      <c r="C19" s="31">
        <v>113000</v>
      </c>
      <c r="D19" s="31" t="s">
        <v>30</v>
      </c>
      <c r="E19" s="31" t="s">
        <v>11</v>
      </c>
      <c r="F19" s="31" t="s">
        <v>15</v>
      </c>
      <c r="G19" s="31">
        <v>4</v>
      </c>
      <c r="H19" s="31" t="s">
        <v>20</v>
      </c>
      <c r="I19" s="52"/>
      <c r="J19" s="52"/>
      <c r="K19" s="53">
        <f>SUMIF('قيود اليوميه'!G:G,'ميزان المراجعه'!C19,'قيود اليوميه'!D:D)</f>
        <v>0</v>
      </c>
      <c r="L19" s="53">
        <f>SUMIF('قيود اليوميه'!G:G,'ميزان المراجعه'!C19,'قيود اليوميه'!E:E)</f>
        <v>0</v>
      </c>
      <c r="M19" s="53" t="str">
        <f>IF(I19-J19+K19-L19&gt;0,I19-J19+K19-L19,"")</f>
        <v/>
      </c>
      <c r="N19" s="53" t="str">
        <f>IF(J19-I19+L19-K19&gt;0,J19-I19+L19-K19,"")</f>
        <v/>
      </c>
      <c r="O19" s="54" t="str">
        <f t="shared" si="2"/>
        <v/>
      </c>
      <c r="P19" s="31" t="s">
        <v>29</v>
      </c>
      <c r="Q19" s="31" t="s">
        <v>17</v>
      </c>
    </row>
    <row r="20" spans="3:17" ht="21">
      <c r="C20" s="43">
        <v>12</v>
      </c>
      <c r="D20" s="43" t="s">
        <v>31</v>
      </c>
      <c r="E20" s="43" t="s">
        <v>11</v>
      </c>
      <c r="F20" s="43" t="s">
        <v>15</v>
      </c>
      <c r="G20" s="43">
        <v>2</v>
      </c>
      <c r="H20" s="43" t="s">
        <v>16</v>
      </c>
      <c r="I20" s="43"/>
      <c r="J20" s="43"/>
      <c r="K20" s="55"/>
      <c r="L20" s="55"/>
      <c r="M20" s="55"/>
      <c r="N20" s="55"/>
      <c r="O20" s="55"/>
      <c r="P20" s="43"/>
      <c r="Q20" s="43"/>
    </row>
    <row r="21" spans="3:17" ht="21">
      <c r="C21" s="23">
        <v>121</v>
      </c>
      <c r="D21" s="23" t="s">
        <v>32</v>
      </c>
      <c r="E21" s="23" t="s">
        <v>11</v>
      </c>
      <c r="F21" s="23" t="s">
        <v>15</v>
      </c>
      <c r="G21" s="23">
        <v>3</v>
      </c>
      <c r="H21" s="23" t="s">
        <v>16</v>
      </c>
      <c r="I21" s="23"/>
      <c r="J21" s="23"/>
      <c r="K21" s="5"/>
      <c r="L21" s="5"/>
      <c r="M21" s="5"/>
      <c r="N21" s="5"/>
      <c r="O21" s="5"/>
      <c r="P21" s="23"/>
      <c r="Q21" s="23"/>
    </row>
    <row r="22" spans="3:17" ht="21">
      <c r="C22" s="31">
        <v>121000</v>
      </c>
      <c r="D22" s="31" t="s">
        <v>33</v>
      </c>
      <c r="E22" s="31" t="s">
        <v>11</v>
      </c>
      <c r="F22" s="31" t="s">
        <v>15</v>
      </c>
      <c r="G22" s="31">
        <v>4</v>
      </c>
      <c r="H22" s="31" t="s">
        <v>20</v>
      </c>
      <c r="I22" s="52"/>
      <c r="J22" s="52"/>
      <c r="K22" s="53">
        <f>SUMIF('قيود اليوميه'!G:G,'ميزان المراجعه'!C22,'قيود اليوميه'!D:D)</f>
        <v>0</v>
      </c>
      <c r="L22" s="53">
        <f>SUMIF('قيود اليوميه'!G:G,'ميزان المراجعه'!C22,'قيود اليوميه'!E:E)</f>
        <v>0</v>
      </c>
      <c r="M22" s="53" t="str">
        <f t="shared" ref="M22:M27" si="5">IF(I22-J22+K22-L22&gt;0,I22-J22+K22-L22,"")</f>
        <v/>
      </c>
      <c r="N22" s="53" t="str">
        <f t="shared" ref="N22:N27" si="6">IF(J22-I22+L22-K22&gt;0,J22-I22+L22-K22,"")</f>
        <v/>
      </c>
      <c r="O22" s="54" t="str">
        <f t="shared" si="2"/>
        <v/>
      </c>
      <c r="P22" s="31" t="s">
        <v>34</v>
      </c>
      <c r="Q22" s="31" t="s">
        <v>31</v>
      </c>
    </row>
    <row r="23" spans="3:17" ht="21">
      <c r="C23" s="31">
        <v>121001</v>
      </c>
      <c r="D23" s="31" t="s">
        <v>35</v>
      </c>
      <c r="E23" s="31" t="s">
        <v>11</v>
      </c>
      <c r="F23" s="31" t="s">
        <v>15</v>
      </c>
      <c r="G23" s="31">
        <v>4</v>
      </c>
      <c r="H23" s="31" t="s">
        <v>20</v>
      </c>
      <c r="I23" s="52"/>
      <c r="J23" s="52"/>
      <c r="K23" s="53">
        <f>SUMIF('قيود اليوميه'!G:G,'ميزان المراجعه'!C23,'قيود اليوميه'!D:D)</f>
        <v>0</v>
      </c>
      <c r="L23" s="53">
        <f>SUMIF('قيود اليوميه'!G:G,'ميزان المراجعه'!C23,'قيود اليوميه'!E:E)</f>
        <v>0</v>
      </c>
      <c r="M23" s="53" t="str">
        <f t="shared" si="5"/>
        <v/>
      </c>
      <c r="N23" s="53" t="str">
        <f t="shared" si="6"/>
        <v/>
      </c>
      <c r="O23" s="54" t="str">
        <f t="shared" si="2"/>
        <v/>
      </c>
      <c r="P23" s="31" t="s">
        <v>34</v>
      </c>
      <c r="Q23" s="31" t="s">
        <v>31</v>
      </c>
    </row>
    <row r="24" spans="3:17" ht="21">
      <c r="C24" s="31">
        <v>121002</v>
      </c>
      <c r="D24" s="31" t="s">
        <v>36</v>
      </c>
      <c r="E24" s="31" t="s">
        <v>11</v>
      </c>
      <c r="F24" s="31" t="s">
        <v>15</v>
      </c>
      <c r="G24" s="31">
        <v>4</v>
      </c>
      <c r="H24" s="31" t="s">
        <v>20</v>
      </c>
      <c r="I24" s="52"/>
      <c r="J24" s="52"/>
      <c r="K24" s="53">
        <f>SUMIF('قيود اليوميه'!G:G,'ميزان المراجعه'!C24,'قيود اليوميه'!D:D)</f>
        <v>851000</v>
      </c>
      <c r="L24" s="53">
        <f>SUMIF('قيود اليوميه'!G:G,'ميزان المراجعه'!C24,'قيود اليوميه'!E:E)</f>
        <v>423200</v>
      </c>
      <c r="M24" s="53">
        <f t="shared" si="5"/>
        <v>427800</v>
      </c>
      <c r="N24" s="53" t="str">
        <f t="shared" si="6"/>
        <v/>
      </c>
      <c r="O24" s="54">
        <f t="shared" si="2"/>
        <v>-427800</v>
      </c>
      <c r="P24" s="31" t="s">
        <v>34</v>
      </c>
      <c r="Q24" s="31" t="s">
        <v>31</v>
      </c>
    </row>
    <row r="25" spans="3:17" ht="21">
      <c r="C25" s="31">
        <v>121003</v>
      </c>
      <c r="D25" s="31" t="s">
        <v>37</v>
      </c>
      <c r="E25" s="31" t="s">
        <v>11</v>
      </c>
      <c r="F25" s="31" t="s">
        <v>15</v>
      </c>
      <c r="G25" s="31">
        <v>4</v>
      </c>
      <c r="H25" s="31" t="s">
        <v>20</v>
      </c>
      <c r="I25" s="52"/>
      <c r="J25" s="52"/>
      <c r="K25" s="53">
        <f>SUMIF('قيود اليوميه'!G:G,'ميزان المراجعه'!C25,'قيود اليوميه'!D:D)</f>
        <v>400000</v>
      </c>
      <c r="L25" s="53">
        <f>SUMIF('قيود اليوميه'!G:G,'ميزان المراجعه'!C25,'قيود اليوميه'!E:E)</f>
        <v>11250</v>
      </c>
      <c r="M25" s="53">
        <f t="shared" si="5"/>
        <v>388750</v>
      </c>
      <c r="N25" s="53" t="str">
        <f t="shared" si="6"/>
        <v/>
      </c>
      <c r="O25" s="54">
        <f t="shared" si="2"/>
        <v>-388750</v>
      </c>
      <c r="P25" s="31" t="s">
        <v>34</v>
      </c>
      <c r="Q25" s="31" t="s">
        <v>31</v>
      </c>
    </row>
    <row r="26" spans="3:17" ht="21">
      <c r="C26" s="31">
        <v>121004</v>
      </c>
      <c r="D26" s="31" t="s">
        <v>38</v>
      </c>
      <c r="E26" s="31" t="s">
        <v>11</v>
      </c>
      <c r="F26" s="31" t="s">
        <v>15</v>
      </c>
      <c r="G26" s="31">
        <v>4</v>
      </c>
      <c r="H26" s="31" t="s">
        <v>20</v>
      </c>
      <c r="I26" s="52"/>
      <c r="J26" s="52"/>
      <c r="K26" s="53">
        <f>SUMIF('قيود اليوميه'!G:G,'ميزان المراجعه'!C26,'قيود اليوميه'!D:D)</f>
        <v>800000</v>
      </c>
      <c r="L26" s="53">
        <f>SUMIF('قيود اليوميه'!G:G,'ميزان المراجعه'!C26,'قيود اليوميه'!E:E)</f>
        <v>95700</v>
      </c>
      <c r="M26" s="53">
        <f t="shared" si="5"/>
        <v>704300</v>
      </c>
      <c r="N26" s="53" t="str">
        <f t="shared" si="6"/>
        <v/>
      </c>
      <c r="O26" s="54">
        <f t="shared" si="2"/>
        <v>-704300</v>
      </c>
      <c r="P26" s="31" t="s">
        <v>34</v>
      </c>
      <c r="Q26" s="31" t="s">
        <v>31</v>
      </c>
    </row>
    <row r="27" spans="3:17" ht="21">
      <c r="C27" s="31">
        <v>121005</v>
      </c>
      <c r="D27" s="31" t="s">
        <v>39</v>
      </c>
      <c r="E27" s="31" t="s">
        <v>11</v>
      </c>
      <c r="F27" s="31" t="s">
        <v>15</v>
      </c>
      <c r="G27" s="31">
        <v>4</v>
      </c>
      <c r="H27" s="31" t="s">
        <v>20</v>
      </c>
      <c r="I27" s="52"/>
      <c r="J27" s="52"/>
      <c r="K27" s="53">
        <f>SUMIF('قيود اليوميه'!G:G,'ميزان المراجعه'!C27,'قيود اليوميه'!D:D)</f>
        <v>0</v>
      </c>
      <c r="L27" s="53">
        <f>SUMIF('قيود اليوميه'!G:G,'ميزان المراجعه'!C27,'قيود اليوميه'!E:E)</f>
        <v>0</v>
      </c>
      <c r="M27" s="53" t="str">
        <f t="shared" si="5"/>
        <v/>
      </c>
      <c r="N27" s="53" t="str">
        <f t="shared" si="6"/>
        <v/>
      </c>
      <c r="O27" s="54" t="str">
        <f t="shared" si="2"/>
        <v/>
      </c>
      <c r="P27" s="31" t="s">
        <v>34</v>
      </c>
      <c r="Q27" s="31" t="s">
        <v>31</v>
      </c>
    </row>
    <row r="28" spans="3:17" ht="21">
      <c r="C28" s="23">
        <v>122</v>
      </c>
      <c r="D28" s="23" t="s">
        <v>40</v>
      </c>
      <c r="E28" s="23" t="s">
        <v>11</v>
      </c>
      <c r="F28" s="23" t="s">
        <v>15</v>
      </c>
      <c r="G28" s="23">
        <v>3</v>
      </c>
      <c r="H28" s="23" t="s">
        <v>16</v>
      </c>
      <c r="I28" s="23"/>
      <c r="J28" s="23"/>
      <c r="K28" s="5"/>
      <c r="L28" s="5"/>
      <c r="M28" s="5"/>
      <c r="N28" s="5"/>
      <c r="O28" s="5"/>
      <c r="P28" s="23"/>
      <c r="Q28" s="23"/>
    </row>
    <row r="29" spans="3:17" ht="21">
      <c r="C29" s="31">
        <v>122000</v>
      </c>
      <c r="D29" s="31" t="s">
        <v>41</v>
      </c>
      <c r="E29" s="31" t="s">
        <v>11</v>
      </c>
      <c r="F29" s="31" t="s">
        <v>15</v>
      </c>
      <c r="G29" s="31">
        <v>4</v>
      </c>
      <c r="H29" s="31" t="s">
        <v>20</v>
      </c>
      <c r="I29" s="52"/>
      <c r="J29" s="52"/>
      <c r="K29" s="53">
        <f>SUMIF('قيود اليوميه'!G:G,'ميزان المراجعه'!C29,'قيود اليوميه'!D:D)</f>
        <v>330000</v>
      </c>
      <c r="L29" s="53">
        <f>SUMIF('قيود اليوميه'!G:G,'ميزان المراجعه'!C29,'قيود اليوميه'!E:E)</f>
        <v>50000</v>
      </c>
      <c r="M29" s="53">
        <f t="shared" ref="M29:M30" si="7">IF(I29-J29+K29-L29&gt;0,I29-J29+K29-L29,"")</f>
        <v>280000</v>
      </c>
      <c r="N29" s="53" t="str">
        <f t="shared" ref="N29:N30" si="8">IF(J29-I29+L29-K29&gt;0,J29-I29+L29-K29,"")</f>
        <v/>
      </c>
      <c r="O29" s="54">
        <f t="shared" si="2"/>
        <v>-280000</v>
      </c>
      <c r="P29" s="31" t="s">
        <v>40</v>
      </c>
      <c r="Q29" s="31" t="s">
        <v>31</v>
      </c>
    </row>
    <row r="30" spans="3:17" ht="21">
      <c r="C30" s="31">
        <v>122001</v>
      </c>
      <c r="D30" s="31" t="s">
        <v>42</v>
      </c>
      <c r="E30" s="31" t="s">
        <v>11</v>
      </c>
      <c r="F30" s="31" t="s">
        <v>15</v>
      </c>
      <c r="G30" s="31">
        <v>4</v>
      </c>
      <c r="H30" s="31" t="s">
        <v>20</v>
      </c>
      <c r="I30" s="52"/>
      <c r="J30" s="52"/>
      <c r="K30" s="53">
        <f>SUMIF('قيود اليوميه'!G:G,'ميزان المراجعه'!C30,'قيود اليوميه'!D:D)</f>
        <v>0</v>
      </c>
      <c r="L30" s="53">
        <f>SUMIF('قيود اليوميه'!G:G,'ميزان المراجعه'!C30,'قيود اليوميه'!E:E)</f>
        <v>0</v>
      </c>
      <c r="M30" s="53" t="str">
        <f t="shared" si="7"/>
        <v/>
      </c>
      <c r="N30" s="53" t="str">
        <f t="shared" si="8"/>
        <v/>
      </c>
      <c r="O30" s="54" t="str">
        <f t="shared" si="2"/>
        <v/>
      </c>
      <c r="P30" s="31" t="s">
        <v>40</v>
      </c>
      <c r="Q30" s="31" t="s">
        <v>31</v>
      </c>
    </row>
    <row r="31" spans="3:17" ht="21">
      <c r="C31" s="23">
        <v>123</v>
      </c>
      <c r="D31" s="23" t="s">
        <v>43</v>
      </c>
      <c r="E31" s="23" t="s">
        <v>11</v>
      </c>
      <c r="F31" s="23" t="s">
        <v>15</v>
      </c>
      <c r="G31" s="23">
        <v>3</v>
      </c>
      <c r="H31" s="23" t="s">
        <v>16</v>
      </c>
      <c r="I31" s="23"/>
      <c r="J31" s="23"/>
      <c r="K31" s="5"/>
      <c r="L31" s="5"/>
      <c r="M31" s="5"/>
      <c r="N31" s="5"/>
      <c r="O31" s="5"/>
      <c r="P31" s="23"/>
      <c r="Q31" s="23"/>
    </row>
    <row r="32" spans="3:17" ht="21">
      <c r="C32" s="31">
        <v>123000</v>
      </c>
      <c r="D32" s="31" t="s">
        <v>44</v>
      </c>
      <c r="E32" s="31" t="s">
        <v>11</v>
      </c>
      <c r="F32" s="31" t="s">
        <v>15</v>
      </c>
      <c r="G32" s="31">
        <v>4</v>
      </c>
      <c r="H32" s="31" t="s">
        <v>20</v>
      </c>
      <c r="I32" s="52"/>
      <c r="J32" s="52"/>
      <c r="K32" s="53">
        <f>SUMIF('قيود اليوميه'!G:G,'ميزان المراجعه'!C32,'قيود اليوميه'!D:D)</f>
        <v>0</v>
      </c>
      <c r="L32" s="53">
        <f>SUMIF('قيود اليوميه'!G:G,'ميزان المراجعه'!C32,'قيود اليوميه'!E:E)</f>
        <v>0</v>
      </c>
      <c r="M32" s="53" t="str">
        <f t="shared" ref="M32:M33" si="9">IF(I32-J32+K32-L32&gt;0,I32-J32+K32-L32,"")</f>
        <v/>
      </c>
      <c r="N32" s="53" t="str">
        <f t="shared" ref="N32:N33" si="10">IF(J32-I32+L32-K32&gt;0,J32-I32+L32-K32,"")</f>
        <v/>
      </c>
      <c r="O32" s="54" t="str">
        <f t="shared" si="2"/>
        <v/>
      </c>
      <c r="P32" s="31" t="s">
        <v>43</v>
      </c>
      <c r="Q32" s="31" t="s">
        <v>31</v>
      </c>
    </row>
    <row r="33" spans="3:17" ht="21">
      <c r="C33" s="31">
        <v>123001</v>
      </c>
      <c r="D33" s="31" t="s">
        <v>45</v>
      </c>
      <c r="E33" s="31" t="s">
        <v>11</v>
      </c>
      <c r="F33" s="31" t="s">
        <v>15</v>
      </c>
      <c r="G33" s="31">
        <v>4</v>
      </c>
      <c r="H33" s="31" t="s">
        <v>20</v>
      </c>
      <c r="I33" s="52"/>
      <c r="J33" s="52"/>
      <c r="K33" s="53">
        <f>SUMIF('قيود اليوميه'!G:G,'ميزان المراجعه'!C33,'قيود اليوميه'!D:D)</f>
        <v>0</v>
      </c>
      <c r="L33" s="53">
        <f>SUMIF('قيود اليوميه'!G:G,'ميزان المراجعه'!C33,'قيود اليوميه'!E:E)</f>
        <v>0</v>
      </c>
      <c r="M33" s="53" t="str">
        <f t="shared" si="9"/>
        <v/>
      </c>
      <c r="N33" s="53" t="str">
        <f t="shared" si="10"/>
        <v/>
      </c>
      <c r="O33" s="54" t="str">
        <f t="shared" si="2"/>
        <v/>
      </c>
      <c r="P33" s="31" t="s">
        <v>43</v>
      </c>
      <c r="Q33" s="31" t="s">
        <v>31</v>
      </c>
    </row>
    <row r="34" spans="3:17" ht="21">
      <c r="C34" s="23">
        <v>124</v>
      </c>
      <c r="D34" s="23" t="s">
        <v>46</v>
      </c>
      <c r="E34" s="23" t="s">
        <v>11</v>
      </c>
      <c r="F34" s="23" t="s">
        <v>15</v>
      </c>
      <c r="G34" s="23">
        <v>3</v>
      </c>
      <c r="H34" s="23" t="s">
        <v>16</v>
      </c>
      <c r="I34" s="23"/>
      <c r="J34" s="23"/>
      <c r="K34" s="5"/>
      <c r="L34" s="5"/>
      <c r="M34" s="5"/>
      <c r="N34" s="5"/>
      <c r="O34" s="5"/>
      <c r="P34" s="23"/>
      <c r="Q34" s="23"/>
    </row>
    <row r="35" spans="3:17" ht="21">
      <c r="C35" s="31">
        <v>124000</v>
      </c>
      <c r="D35" s="31" t="s">
        <v>47</v>
      </c>
      <c r="E35" s="31" t="s">
        <v>11</v>
      </c>
      <c r="F35" s="31" t="s">
        <v>15</v>
      </c>
      <c r="G35" s="31">
        <v>4</v>
      </c>
      <c r="H35" s="31" t="s">
        <v>20</v>
      </c>
      <c r="I35" s="52"/>
      <c r="J35" s="52"/>
      <c r="K35" s="53">
        <f>SUMIF('قيود اليوميه'!G:G,'ميزان المراجعه'!C35,'قيود اليوميه'!D:D)</f>
        <v>146250</v>
      </c>
      <c r="L35" s="53">
        <f>SUMIF('قيود اليوميه'!G:G,'ميزان المراجعه'!C35,'قيود اليوميه'!E:E)</f>
        <v>11250</v>
      </c>
      <c r="M35" s="53">
        <f t="shared" ref="M35:M36" si="11">IF(I35-J35+K35-L35&gt;0,I35-J35+K35-L35,"")</f>
        <v>135000</v>
      </c>
      <c r="N35" s="53" t="str">
        <f t="shared" ref="N35:N36" si="12">IF(J35-I35+L35-K35&gt;0,J35-I35+L35-K35,"")</f>
        <v/>
      </c>
      <c r="O35" s="54">
        <f t="shared" si="2"/>
        <v>-135000</v>
      </c>
      <c r="P35" s="31" t="s">
        <v>43</v>
      </c>
      <c r="Q35" s="31" t="s">
        <v>31</v>
      </c>
    </row>
    <row r="36" spans="3:17" ht="21">
      <c r="C36" s="31">
        <v>124001</v>
      </c>
      <c r="D36" s="31" t="s">
        <v>48</v>
      </c>
      <c r="E36" s="31" t="s">
        <v>11</v>
      </c>
      <c r="F36" s="31" t="s">
        <v>15</v>
      </c>
      <c r="G36" s="31">
        <v>4</v>
      </c>
      <c r="H36" s="31" t="s">
        <v>20</v>
      </c>
      <c r="I36" s="52"/>
      <c r="J36" s="52"/>
      <c r="K36" s="53">
        <f>SUMIF('قيود اليوميه'!G:G,'ميزان المراجعه'!C36,'قيود اليوميه'!D:D)</f>
        <v>0</v>
      </c>
      <c r="L36" s="53">
        <f>SUMIF('قيود اليوميه'!G:G,'ميزان المراجعه'!C36,'قيود اليوميه'!E:E)</f>
        <v>0</v>
      </c>
      <c r="M36" s="53" t="str">
        <f t="shared" si="11"/>
        <v/>
      </c>
      <c r="N36" s="53" t="str">
        <f t="shared" si="12"/>
        <v/>
      </c>
      <c r="O36" s="54" t="str">
        <f t="shared" si="2"/>
        <v/>
      </c>
      <c r="P36" s="31" t="s">
        <v>43</v>
      </c>
      <c r="Q36" s="31" t="s">
        <v>31</v>
      </c>
    </row>
    <row r="37" spans="3:17" ht="21">
      <c r="C37" s="23">
        <v>125</v>
      </c>
      <c r="D37" s="23" t="s">
        <v>49</v>
      </c>
      <c r="E37" s="23" t="s">
        <v>11</v>
      </c>
      <c r="F37" s="23" t="s">
        <v>15</v>
      </c>
      <c r="G37" s="23">
        <v>3</v>
      </c>
      <c r="H37" s="23" t="s">
        <v>16</v>
      </c>
      <c r="I37" s="23"/>
      <c r="J37" s="23"/>
      <c r="K37" s="5"/>
      <c r="L37" s="5"/>
      <c r="M37" s="5"/>
      <c r="N37" s="5"/>
      <c r="O37" s="5"/>
      <c r="P37" s="23"/>
      <c r="Q37" s="23"/>
    </row>
    <row r="38" spans="3:17" ht="21">
      <c r="C38" s="31">
        <v>125000</v>
      </c>
      <c r="D38" s="31" t="s">
        <v>50</v>
      </c>
      <c r="E38" s="31" t="s">
        <v>11</v>
      </c>
      <c r="F38" s="31" t="s">
        <v>15</v>
      </c>
      <c r="G38" s="31">
        <v>4</v>
      </c>
      <c r="H38" s="31" t="s">
        <v>20</v>
      </c>
      <c r="I38" s="52"/>
      <c r="J38" s="52"/>
      <c r="K38" s="53">
        <f>SUMIF('قيود اليوميه'!G:G,'ميزان المراجعه'!C38,'قيود اليوميه'!D:D)</f>
        <v>15000</v>
      </c>
      <c r="L38" s="53">
        <f>SUMIF('قيود اليوميه'!G:G,'ميزان المراجعه'!C38,'قيود اليوميه'!E:E)</f>
        <v>15000</v>
      </c>
      <c r="M38" s="53" t="str">
        <f t="shared" ref="M38:M41" si="13">IF(I38-J38+K38-L38&gt;0,I38-J38+K38-L38,"")</f>
        <v/>
      </c>
      <c r="N38" s="53" t="str">
        <f t="shared" ref="N38:N41" si="14">IF(J38-I38+L38-K38&gt;0,J38-I38+L38-K38,"")</f>
        <v/>
      </c>
      <c r="O38" s="54" t="str">
        <f t="shared" si="2"/>
        <v/>
      </c>
      <c r="P38" s="31" t="s">
        <v>49</v>
      </c>
      <c r="Q38" s="31" t="s">
        <v>31</v>
      </c>
    </row>
    <row r="39" spans="3:17" ht="21">
      <c r="C39" s="31">
        <v>125001</v>
      </c>
      <c r="D39" s="31" t="s">
        <v>51</v>
      </c>
      <c r="E39" s="31" t="s">
        <v>11</v>
      </c>
      <c r="F39" s="31" t="s">
        <v>15</v>
      </c>
      <c r="G39" s="31">
        <v>4</v>
      </c>
      <c r="H39" s="31" t="s">
        <v>20</v>
      </c>
      <c r="I39" s="52"/>
      <c r="J39" s="52"/>
      <c r="K39" s="53">
        <f>SUMIF('قيود اليوميه'!G:G,'ميزان المراجعه'!C39,'قيود اليوميه'!D:D)</f>
        <v>5000</v>
      </c>
      <c r="L39" s="53">
        <f>SUMIF('قيود اليوميه'!G:G,'ميزان المراجعه'!C39,'قيود اليوميه'!E:E)</f>
        <v>1000</v>
      </c>
      <c r="M39" s="53">
        <f t="shared" si="13"/>
        <v>4000</v>
      </c>
      <c r="N39" s="53" t="str">
        <f t="shared" si="14"/>
        <v/>
      </c>
      <c r="O39" s="54">
        <f t="shared" si="2"/>
        <v>-4000</v>
      </c>
      <c r="P39" s="31" t="s">
        <v>49</v>
      </c>
      <c r="Q39" s="31" t="s">
        <v>31</v>
      </c>
    </row>
    <row r="40" spans="3:17" ht="21">
      <c r="C40" s="31">
        <v>125002</v>
      </c>
      <c r="D40" s="31" t="s">
        <v>52</v>
      </c>
      <c r="E40" s="31" t="s">
        <v>11</v>
      </c>
      <c r="F40" s="31" t="s">
        <v>15</v>
      </c>
      <c r="G40" s="31">
        <v>4</v>
      </c>
      <c r="H40" s="31" t="s">
        <v>20</v>
      </c>
      <c r="I40" s="52"/>
      <c r="J40" s="52"/>
      <c r="K40" s="53">
        <f>SUMIF('قيود اليوميه'!G:G,'ميزان المراجعه'!C40,'قيود اليوميه'!D:D)</f>
        <v>0</v>
      </c>
      <c r="L40" s="53">
        <f>SUMIF('قيود اليوميه'!G:G,'ميزان المراجعه'!C40,'قيود اليوميه'!E:E)</f>
        <v>0</v>
      </c>
      <c r="M40" s="53" t="str">
        <f t="shared" si="13"/>
        <v/>
      </c>
      <c r="N40" s="53" t="str">
        <f t="shared" si="14"/>
        <v/>
      </c>
      <c r="O40" s="54" t="str">
        <f t="shared" si="2"/>
        <v/>
      </c>
      <c r="P40" s="31" t="s">
        <v>49</v>
      </c>
      <c r="Q40" s="31" t="s">
        <v>31</v>
      </c>
    </row>
    <row r="41" spans="3:17" ht="21">
      <c r="C41" s="31">
        <v>125003</v>
      </c>
      <c r="D41" s="31" t="s">
        <v>53</v>
      </c>
      <c r="E41" s="31" t="s">
        <v>11</v>
      </c>
      <c r="F41" s="31" t="s">
        <v>15</v>
      </c>
      <c r="G41" s="31">
        <v>4</v>
      </c>
      <c r="H41" s="31" t="s">
        <v>20</v>
      </c>
      <c r="I41" s="52"/>
      <c r="J41" s="52"/>
      <c r="K41" s="53">
        <f>SUMIF('قيود اليوميه'!G:G,'ميزان المراجعه'!C41,'قيود اليوميه'!D:D)</f>
        <v>0</v>
      </c>
      <c r="L41" s="53">
        <f>SUMIF('قيود اليوميه'!G:G,'ميزان المراجعه'!C41,'قيود اليوميه'!E:E)</f>
        <v>0</v>
      </c>
      <c r="M41" s="53" t="str">
        <f t="shared" si="13"/>
        <v/>
      </c>
      <c r="N41" s="53" t="str">
        <f t="shared" si="14"/>
        <v/>
      </c>
      <c r="O41" s="54" t="str">
        <f t="shared" si="2"/>
        <v/>
      </c>
      <c r="P41" s="31" t="s">
        <v>49</v>
      </c>
      <c r="Q41" s="31" t="s">
        <v>31</v>
      </c>
    </row>
    <row r="42" spans="3:17" ht="21">
      <c r="C42" s="23">
        <v>126</v>
      </c>
      <c r="D42" s="23" t="s">
        <v>54</v>
      </c>
      <c r="E42" s="23" t="s">
        <v>11</v>
      </c>
      <c r="F42" s="23" t="s">
        <v>15</v>
      </c>
      <c r="G42" s="23">
        <v>3</v>
      </c>
      <c r="H42" s="23" t="s">
        <v>16</v>
      </c>
      <c r="I42" s="23"/>
      <c r="J42" s="23"/>
      <c r="K42" s="5"/>
      <c r="L42" s="5"/>
      <c r="M42" s="5"/>
      <c r="N42" s="5"/>
      <c r="O42" s="5"/>
      <c r="P42" s="23"/>
      <c r="Q42" s="23"/>
    </row>
    <row r="43" spans="3:17" ht="21">
      <c r="C43" s="31">
        <v>126000</v>
      </c>
      <c r="D43" s="31" t="s">
        <v>55</v>
      </c>
      <c r="E43" s="31" t="s">
        <v>11</v>
      </c>
      <c r="F43" s="31" t="s">
        <v>15</v>
      </c>
      <c r="G43" s="31">
        <v>4</v>
      </c>
      <c r="H43" s="31" t="s">
        <v>20</v>
      </c>
      <c r="I43" s="52"/>
      <c r="J43" s="52"/>
      <c r="K43" s="53">
        <f>SUMIF('قيود اليوميه'!G:G,'ميزان المراجعه'!C43,'قيود اليوميه'!D:D)</f>
        <v>0</v>
      </c>
      <c r="L43" s="53">
        <f>SUMIF('قيود اليوميه'!G:G,'ميزان المراجعه'!C43,'قيود اليوميه'!E:E)</f>
        <v>0</v>
      </c>
      <c r="M43" s="53" t="str">
        <f t="shared" ref="M43:M45" si="15">IF(I43-J43+K43-L43&gt;0,I43-J43+K43-L43,"")</f>
        <v/>
      </c>
      <c r="N43" s="53" t="str">
        <f t="shared" ref="N43:N45" si="16">IF(J43-I43+L43-K43&gt;0,J43-I43+L43-K43,"")</f>
        <v/>
      </c>
      <c r="O43" s="54" t="str">
        <f t="shared" si="2"/>
        <v/>
      </c>
      <c r="P43" s="31" t="s">
        <v>54</v>
      </c>
      <c r="Q43" s="31" t="s">
        <v>31</v>
      </c>
    </row>
    <row r="44" spans="3:17" ht="21">
      <c r="C44" s="31">
        <v>126001</v>
      </c>
      <c r="D44" s="31" t="s">
        <v>56</v>
      </c>
      <c r="E44" s="31" t="s">
        <v>11</v>
      </c>
      <c r="F44" s="31" t="s">
        <v>15</v>
      </c>
      <c r="G44" s="31">
        <v>4</v>
      </c>
      <c r="H44" s="31" t="s">
        <v>20</v>
      </c>
      <c r="I44" s="52"/>
      <c r="J44" s="52"/>
      <c r="K44" s="53">
        <f>SUMIF('قيود اليوميه'!G:G,'ميزان المراجعه'!C44,'قيود اليوميه'!D:D)</f>
        <v>0</v>
      </c>
      <c r="L44" s="53">
        <f>SUMIF('قيود اليوميه'!G:G,'ميزان المراجعه'!C44,'قيود اليوميه'!E:E)</f>
        <v>0</v>
      </c>
      <c r="M44" s="53" t="str">
        <f t="shared" si="15"/>
        <v/>
      </c>
      <c r="N44" s="53" t="str">
        <f t="shared" si="16"/>
        <v/>
      </c>
      <c r="O44" s="54" t="str">
        <f t="shared" si="2"/>
        <v/>
      </c>
      <c r="P44" s="31" t="s">
        <v>54</v>
      </c>
      <c r="Q44" s="31" t="s">
        <v>31</v>
      </c>
    </row>
    <row r="45" spans="3:17" ht="21">
      <c r="C45" s="31">
        <v>126002</v>
      </c>
      <c r="D45" s="31" t="s">
        <v>57</v>
      </c>
      <c r="E45" s="31" t="s">
        <v>11</v>
      </c>
      <c r="F45" s="31" t="s">
        <v>15</v>
      </c>
      <c r="G45" s="31">
        <v>4</v>
      </c>
      <c r="H45" s="31" t="s">
        <v>20</v>
      </c>
      <c r="I45" s="52"/>
      <c r="J45" s="52"/>
      <c r="K45" s="53">
        <f>SUMIF('قيود اليوميه'!G:G,'ميزان المراجعه'!C45,'قيود اليوميه'!D:D)</f>
        <v>0</v>
      </c>
      <c r="L45" s="53">
        <f>SUMIF('قيود اليوميه'!G:G,'ميزان المراجعه'!C45,'قيود اليوميه'!E:E)</f>
        <v>0</v>
      </c>
      <c r="M45" s="53" t="str">
        <f t="shared" si="15"/>
        <v/>
      </c>
      <c r="N45" s="53" t="str">
        <f t="shared" si="16"/>
        <v/>
      </c>
      <c r="O45" s="54" t="str">
        <f t="shared" si="2"/>
        <v/>
      </c>
      <c r="P45" s="31" t="s">
        <v>54</v>
      </c>
      <c r="Q45" s="31" t="s">
        <v>31</v>
      </c>
    </row>
    <row r="46" spans="3:17" ht="21">
      <c r="C46" s="7">
        <v>2</v>
      </c>
      <c r="D46" s="7" t="s">
        <v>58</v>
      </c>
      <c r="E46" s="7" t="s">
        <v>12</v>
      </c>
      <c r="F46" s="7" t="s">
        <v>15</v>
      </c>
      <c r="G46" s="7">
        <v>1</v>
      </c>
      <c r="H46" s="7" t="s">
        <v>16</v>
      </c>
      <c r="I46" s="7"/>
      <c r="J46" s="7"/>
      <c r="K46" s="56"/>
      <c r="L46" s="56"/>
      <c r="M46" s="56"/>
      <c r="N46" s="56"/>
      <c r="O46" s="56"/>
      <c r="P46" s="57"/>
      <c r="Q46" s="7"/>
    </row>
    <row r="47" spans="3:17" ht="21">
      <c r="C47" s="43">
        <v>21</v>
      </c>
      <c r="D47" s="43" t="s">
        <v>59</v>
      </c>
      <c r="E47" s="43" t="s">
        <v>12</v>
      </c>
      <c r="F47" s="43" t="s">
        <v>15</v>
      </c>
      <c r="G47" s="43">
        <v>2</v>
      </c>
      <c r="H47" s="43" t="s">
        <v>16</v>
      </c>
      <c r="I47" s="43"/>
      <c r="J47" s="43"/>
      <c r="K47" s="55"/>
      <c r="L47" s="55"/>
      <c r="M47" s="55"/>
      <c r="N47" s="55"/>
      <c r="O47" s="55"/>
      <c r="P47" s="39"/>
      <c r="Q47" s="43"/>
    </row>
    <row r="48" spans="3:17" ht="21">
      <c r="C48" s="23">
        <v>211</v>
      </c>
      <c r="D48" s="23" t="s">
        <v>59</v>
      </c>
      <c r="E48" s="23" t="s">
        <v>12</v>
      </c>
      <c r="F48" s="23" t="s">
        <v>15</v>
      </c>
      <c r="G48" s="23">
        <v>3</v>
      </c>
      <c r="H48" s="23" t="s">
        <v>16</v>
      </c>
      <c r="I48" s="23"/>
      <c r="J48" s="23"/>
      <c r="K48" s="5"/>
      <c r="L48" s="5"/>
      <c r="M48" s="5"/>
      <c r="N48" s="5"/>
      <c r="O48" s="5"/>
      <c r="P48" s="58"/>
      <c r="Q48" s="23"/>
    </row>
    <row r="49" spans="3:17" ht="21">
      <c r="C49" s="31">
        <v>211000</v>
      </c>
      <c r="D49" s="31" t="s">
        <v>60</v>
      </c>
      <c r="E49" s="31" t="s">
        <v>12</v>
      </c>
      <c r="F49" s="31" t="s">
        <v>15</v>
      </c>
      <c r="G49" s="31">
        <v>4</v>
      </c>
      <c r="H49" s="31" t="s">
        <v>20</v>
      </c>
      <c r="I49" s="52"/>
      <c r="J49" s="52"/>
      <c r="K49" s="53">
        <f>SUMIF('قيود اليوميه'!G:G,'ميزان المراجعه'!C49,'قيود اليوميه'!D:D)</f>
        <v>0</v>
      </c>
      <c r="L49" s="53">
        <f>SUMIF('قيود اليوميه'!G:G,'ميزان المراجعه'!C49,'قيود اليوميه'!E:E)</f>
        <v>2000000</v>
      </c>
      <c r="M49" s="53" t="str">
        <f t="shared" ref="M49:M52" si="17">IF(I49-J49+K49-L49&gt;0,I49-J49+K49-L49,"")</f>
        <v/>
      </c>
      <c r="N49" s="53">
        <f t="shared" ref="N49:N52" si="18">IF(J49-I49+L49-K49&gt;0,J49-I49+L49-K49,"")</f>
        <v>2000000</v>
      </c>
      <c r="O49" s="54">
        <f t="shared" si="2"/>
        <v>2000000</v>
      </c>
      <c r="P49" s="31" t="s">
        <v>60</v>
      </c>
      <c r="Q49" s="31" t="s">
        <v>59</v>
      </c>
    </row>
    <row r="50" spans="3:17" ht="21">
      <c r="C50" s="31">
        <v>211001</v>
      </c>
      <c r="D50" s="31" t="s">
        <v>61</v>
      </c>
      <c r="E50" s="31" t="s">
        <v>12</v>
      </c>
      <c r="F50" s="31" t="s">
        <v>15</v>
      </c>
      <c r="G50" s="31">
        <v>4</v>
      </c>
      <c r="H50" s="31" t="s">
        <v>20</v>
      </c>
      <c r="I50" s="52"/>
      <c r="J50" s="52"/>
      <c r="K50" s="53">
        <f>SUMIF('قيود اليوميه'!G:G,'ميزان المراجعه'!C50,'قيود اليوميه'!D:D)</f>
        <v>0</v>
      </c>
      <c r="L50" s="53">
        <f>SUMIF('قيود اليوميه'!G:G,'ميزان المراجعه'!C50,'قيود اليوميه'!E:E)</f>
        <v>0</v>
      </c>
      <c r="M50" s="53" t="str">
        <f t="shared" si="17"/>
        <v/>
      </c>
      <c r="N50" s="53" t="str">
        <f t="shared" si="18"/>
        <v/>
      </c>
      <c r="O50" s="54" t="str">
        <f t="shared" si="2"/>
        <v/>
      </c>
      <c r="P50" s="31" t="s">
        <v>61</v>
      </c>
      <c r="Q50" s="31" t="s">
        <v>59</v>
      </c>
    </row>
    <row r="51" spans="3:17" ht="21">
      <c r="C51" s="31">
        <v>211002</v>
      </c>
      <c r="D51" s="31" t="s">
        <v>62</v>
      </c>
      <c r="E51" s="31" t="s">
        <v>12</v>
      </c>
      <c r="F51" s="31" t="s">
        <v>15</v>
      </c>
      <c r="G51" s="31">
        <v>4</v>
      </c>
      <c r="H51" s="31" t="s">
        <v>20</v>
      </c>
      <c r="I51" s="52"/>
      <c r="J51" s="52"/>
      <c r="K51" s="53">
        <f>SUMIF('قيود اليوميه'!G:G,'ميزان المراجعه'!C51,'قيود اليوميه'!D:D)</f>
        <v>0</v>
      </c>
      <c r="L51" s="53">
        <f>SUMIF('قيود اليوميه'!G:G,'ميزان المراجعه'!C51,'قيود اليوميه'!E:E)</f>
        <v>0</v>
      </c>
      <c r="M51" s="53" t="str">
        <f t="shared" si="17"/>
        <v/>
      </c>
      <c r="N51" s="53" t="str">
        <f t="shared" si="18"/>
        <v/>
      </c>
      <c r="O51" s="54" t="str">
        <f t="shared" si="2"/>
        <v/>
      </c>
      <c r="P51" s="36" t="s">
        <v>63</v>
      </c>
      <c r="Q51" s="31" t="s">
        <v>59</v>
      </c>
    </row>
    <row r="52" spans="3:17" ht="21">
      <c r="C52" s="31">
        <v>211003</v>
      </c>
      <c r="D52" s="31" t="s">
        <v>64</v>
      </c>
      <c r="E52" s="31" t="s">
        <v>12</v>
      </c>
      <c r="F52" s="31" t="s">
        <v>15</v>
      </c>
      <c r="G52" s="31">
        <v>4</v>
      </c>
      <c r="H52" s="31" t="s">
        <v>20</v>
      </c>
      <c r="I52" s="52"/>
      <c r="J52" s="52"/>
      <c r="K52" s="53">
        <f>SUMIF('قيود اليوميه'!G:G,'ميزان المراجعه'!C52,'قيود اليوميه'!D:D)</f>
        <v>0</v>
      </c>
      <c r="L52" s="53">
        <f>SUMIF('قيود اليوميه'!G:G,'ميزان المراجعه'!C52,'قيود اليوميه'!E:E)</f>
        <v>0</v>
      </c>
      <c r="M52" s="53" t="str">
        <f t="shared" si="17"/>
        <v/>
      </c>
      <c r="N52" s="53" t="str">
        <f t="shared" si="18"/>
        <v/>
      </c>
      <c r="O52" s="54" t="str">
        <f t="shared" si="2"/>
        <v/>
      </c>
      <c r="P52" s="36" t="s">
        <v>63</v>
      </c>
      <c r="Q52" s="31" t="s">
        <v>59</v>
      </c>
    </row>
    <row r="53" spans="3:17" ht="21">
      <c r="C53" s="43">
        <v>22</v>
      </c>
      <c r="D53" s="43" t="s">
        <v>65</v>
      </c>
      <c r="E53" s="43" t="s">
        <v>12</v>
      </c>
      <c r="F53" s="43" t="s">
        <v>15</v>
      </c>
      <c r="G53" s="43">
        <v>2</v>
      </c>
      <c r="H53" s="43" t="s">
        <v>16</v>
      </c>
      <c r="I53" s="43"/>
      <c r="J53" s="43"/>
      <c r="K53" s="55"/>
      <c r="L53" s="55"/>
      <c r="M53" s="55"/>
      <c r="N53" s="55"/>
      <c r="O53" s="55"/>
      <c r="P53" s="39"/>
      <c r="Q53" s="43"/>
    </row>
    <row r="54" spans="3:17" ht="21">
      <c r="C54" s="23">
        <v>221</v>
      </c>
      <c r="D54" s="23" t="s">
        <v>66</v>
      </c>
      <c r="E54" s="23" t="s">
        <v>12</v>
      </c>
      <c r="F54" s="23" t="s">
        <v>15</v>
      </c>
      <c r="G54" s="23">
        <v>3</v>
      </c>
      <c r="H54" s="23" t="s">
        <v>16</v>
      </c>
      <c r="I54" s="23"/>
      <c r="J54" s="23"/>
      <c r="K54" s="5"/>
      <c r="L54" s="5"/>
      <c r="M54" s="5"/>
      <c r="N54" s="5"/>
      <c r="O54" s="5"/>
      <c r="P54" s="58"/>
      <c r="Q54" s="23"/>
    </row>
    <row r="55" spans="3:17" ht="21">
      <c r="C55" s="31">
        <v>221000</v>
      </c>
      <c r="D55" s="31" t="s">
        <v>67</v>
      </c>
      <c r="E55" s="31" t="s">
        <v>12</v>
      </c>
      <c r="F55" s="31" t="s">
        <v>15</v>
      </c>
      <c r="G55" s="31">
        <v>4</v>
      </c>
      <c r="H55" s="31" t="s">
        <v>20</v>
      </c>
      <c r="I55" s="52"/>
      <c r="J55" s="52"/>
      <c r="K55" s="53">
        <f>SUMIF('قيود اليوميه'!G:G,'ميزان المراجعه'!C55,'قيود اليوميه'!D:D)</f>
        <v>0</v>
      </c>
      <c r="L55" s="53">
        <f>SUMIF('قيود اليوميه'!G:G,'ميزان المراجعه'!C55,'قيود اليوميه'!E:E)</f>
        <v>0</v>
      </c>
      <c r="M55" s="53" t="str">
        <f t="shared" ref="M55:M56" si="19">IF(I55-J55+K55-L55&gt;0,I55-J55+K55-L55,"")</f>
        <v/>
      </c>
      <c r="N55" s="53" t="str">
        <f t="shared" ref="N55:N56" si="20">IF(J55-I55+L55-K55&gt;0,J55-I55+L55-K55,"")</f>
        <v/>
      </c>
      <c r="O55" s="54" t="str">
        <f t="shared" si="2"/>
        <v/>
      </c>
      <c r="P55" s="31" t="s">
        <v>66</v>
      </c>
      <c r="Q55" s="31" t="s">
        <v>65</v>
      </c>
    </row>
    <row r="56" spans="3:17" ht="21">
      <c r="C56" s="31">
        <v>221001</v>
      </c>
      <c r="D56" s="31" t="s">
        <v>68</v>
      </c>
      <c r="E56" s="31" t="s">
        <v>12</v>
      </c>
      <c r="F56" s="31" t="s">
        <v>15</v>
      </c>
      <c r="G56" s="31">
        <v>4</v>
      </c>
      <c r="H56" s="31" t="s">
        <v>20</v>
      </c>
      <c r="I56" s="52"/>
      <c r="J56" s="52"/>
      <c r="K56" s="53">
        <f>SUMIF('قيود اليوميه'!G:G,'ميزان المراجعه'!C56,'قيود اليوميه'!D:D)</f>
        <v>0</v>
      </c>
      <c r="L56" s="53">
        <f>SUMIF('قيود اليوميه'!G:G,'ميزان المراجعه'!C56,'قيود اليوميه'!E:E)</f>
        <v>0</v>
      </c>
      <c r="M56" s="53" t="str">
        <f t="shared" si="19"/>
        <v/>
      </c>
      <c r="N56" s="53" t="str">
        <f t="shared" si="20"/>
        <v/>
      </c>
      <c r="O56" s="54" t="str">
        <f t="shared" si="2"/>
        <v/>
      </c>
      <c r="P56" s="31" t="s">
        <v>66</v>
      </c>
      <c r="Q56" s="31" t="s">
        <v>65</v>
      </c>
    </row>
    <row r="57" spans="3:17" ht="21">
      <c r="C57" s="23">
        <v>222</v>
      </c>
      <c r="D57" s="23" t="s">
        <v>69</v>
      </c>
      <c r="E57" s="23" t="s">
        <v>12</v>
      </c>
      <c r="F57" s="23" t="s">
        <v>15</v>
      </c>
      <c r="G57" s="23">
        <v>3</v>
      </c>
      <c r="H57" s="23" t="s">
        <v>16</v>
      </c>
      <c r="I57" s="23"/>
      <c r="J57" s="23"/>
      <c r="K57" s="5"/>
      <c r="L57" s="5"/>
      <c r="M57" s="5"/>
      <c r="N57" s="5"/>
      <c r="O57" s="5"/>
      <c r="P57" s="23"/>
      <c r="Q57" s="23"/>
    </row>
    <row r="58" spans="3:17" ht="21">
      <c r="C58" s="31">
        <v>222000</v>
      </c>
      <c r="D58" s="31" t="s">
        <v>70</v>
      </c>
      <c r="E58" s="31" t="s">
        <v>12</v>
      </c>
      <c r="F58" s="31" t="s">
        <v>15</v>
      </c>
      <c r="G58" s="31">
        <v>4</v>
      </c>
      <c r="H58" s="31" t="s">
        <v>20</v>
      </c>
      <c r="I58" s="52"/>
      <c r="J58" s="52"/>
      <c r="K58" s="53">
        <f>SUMIF('قيود اليوميه'!G:G,'ميزان المراجعه'!C58,'قيود اليوميه'!D:D)</f>
        <v>0</v>
      </c>
      <c r="L58" s="53">
        <f>SUMIF('قيود اليوميه'!G:G,'ميزان المراجعه'!C58,'قيود اليوميه'!E:E)</f>
        <v>0</v>
      </c>
      <c r="M58" s="53" t="str">
        <f t="shared" ref="M58:M61" si="21">IF(I58-J58+K58-L58&gt;0,I58-J58+K58-L58,"")</f>
        <v/>
      </c>
      <c r="N58" s="53" t="str">
        <f t="shared" ref="N58:N61" si="22">IF(J58-I58+L58-K58&gt;0,J58-I58+L58-K58,"")</f>
        <v/>
      </c>
      <c r="O58" s="54" t="str">
        <f t="shared" si="2"/>
        <v/>
      </c>
      <c r="P58" s="31" t="s">
        <v>18</v>
      </c>
      <c r="Q58" s="31" t="s">
        <v>17</v>
      </c>
    </row>
    <row r="59" spans="3:17" ht="21">
      <c r="C59" s="31">
        <v>222001</v>
      </c>
      <c r="D59" s="31" t="s">
        <v>71</v>
      </c>
      <c r="E59" s="31" t="s">
        <v>12</v>
      </c>
      <c r="F59" s="31" t="s">
        <v>15</v>
      </c>
      <c r="G59" s="31">
        <v>4</v>
      </c>
      <c r="H59" s="31" t="s">
        <v>20</v>
      </c>
      <c r="I59" s="52"/>
      <c r="J59" s="52"/>
      <c r="K59" s="53">
        <f>SUMIF('قيود اليوميه'!G:G,'ميزان المراجعه'!C59,'قيود اليوميه'!D:D)</f>
        <v>0</v>
      </c>
      <c r="L59" s="53">
        <f>SUMIF('قيود اليوميه'!G:G,'ميزان المراجعه'!C59,'قيود اليوميه'!E:E)</f>
        <v>0</v>
      </c>
      <c r="M59" s="53" t="str">
        <f t="shared" si="21"/>
        <v/>
      </c>
      <c r="N59" s="53" t="str">
        <f t="shared" si="22"/>
        <v/>
      </c>
      <c r="O59" s="54" t="str">
        <f t="shared" si="2"/>
        <v/>
      </c>
      <c r="P59" s="31" t="s">
        <v>18</v>
      </c>
      <c r="Q59" s="31" t="s">
        <v>17</v>
      </c>
    </row>
    <row r="60" spans="3:17" ht="21">
      <c r="C60" s="31">
        <v>222002</v>
      </c>
      <c r="D60" s="31" t="s">
        <v>72</v>
      </c>
      <c r="E60" s="31" t="s">
        <v>12</v>
      </c>
      <c r="F60" s="31" t="s">
        <v>15</v>
      </c>
      <c r="G60" s="31">
        <v>4</v>
      </c>
      <c r="H60" s="31" t="s">
        <v>20</v>
      </c>
      <c r="I60" s="52"/>
      <c r="J60" s="52"/>
      <c r="K60" s="53">
        <f>SUMIF('قيود اليوميه'!G:G,'ميزان المراجعه'!C60,'قيود اليوميه'!D:D)</f>
        <v>0</v>
      </c>
      <c r="L60" s="53">
        <f>SUMIF('قيود اليوميه'!G:G,'ميزان المراجعه'!C60,'قيود اليوميه'!E:E)</f>
        <v>0</v>
      </c>
      <c r="M60" s="53" t="str">
        <f t="shared" si="21"/>
        <v/>
      </c>
      <c r="N60" s="53" t="str">
        <f t="shared" si="22"/>
        <v/>
      </c>
      <c r="O60" s="54" t="str">
        <f t="shared" si="2"/>
        <v/>
      </c>
      <c r="P60" s="31" t="s">
        <v>18</v>
      </c>
      <c r="Q60" s="31" t="s">
        <v>17</v>
      </c>
    </row>
    <row r="61" spans="3:17" ht="21">
      <c r="C61" s="31">
        <v>222003</v>
      </c>
      <c r="D61" s="31" t="s">
        <v>73</v>
      </c>
      <c r="E61" s="31" t="s">
        <v>12</v>
      </c>
      <c r="F61" s="31" t="s">
        <v>15</v>
      </c>
      <c r="G61" s="31">
        <v>4</v>
      </c>
      <c r="H61" s="31" t="s">
        <v>20</v>
      </c>
      <c r="I61" s="52"/>
      <c r="J61" s="52"/>
      <c r="K61" s="53">
        <f>SUMIF('قيود اليوميه'!G:G,'ميزان المراجعه'!C61,'قيود اليوميه'!D:D)</f>
        <v>0</v>
      </c>
      <c r="L61" s="53">
        <f>SUMIF('قيود اليوميه'!G:G,'ميزان المراجعه'!C61,'قيود اليوميه'!E:E)</f>
        <v>0</v>
      </c>
      <c r="M61" s="53" t="str">
        <f t="shared" si="21"/>
        <v/>
      </c>
      <c r="N61" s="53" t="str">
        <f t="shared" si="22"/>
        <v/>
      </c>
      <c r="O61" s="54" t="str">
        <f t="shared" si="2"/>
        <v/>
      </c>
      <c r="P61" s="31" t="s">
        <v>18</v>
      </c>
      <c r="Q61" s="31" t="s">
        <v>17</v>
      </c>
    </row>
    <row r="62" spans="3:17" ht="21">
      <c r="C62" s="23">
        <v>223</v>
      </c>
      <c r="D62" s="23" t="s">
        <v>74</v>
      </c>
      <c r="E62" s="23" t="s">
        <v>12</v>
      </c>
      <c r="F62" s="23" t="s">
        <v>15</v>
      </c>
      <c r="G62" s="23">
        <v>3</v>
      </c>
      <c r="H62" s="23" t="s">
        <v>16</v>
      </c>
      <c r="I62" s="23"/>
      <c r="J62" s="23"/>
      <c r="K62" s="5"/>
      <c r="L62" s="5"/>
      <c r="M62" s="5"/>
      <c r="N62" s="5"/>
      <c r="O62" s="5"/>
      <c r="P62" s="23"/>
      <c r="Q62" s="23"/>
    </row>
    <row r="63" spans="3:17" ht="21">
      <c r="C63" s="31">
        <v>223000</v>
      </c>
      <c r="D63" s="31" t="s">
        <v>75</v>
      </c>
      <c r="E63" s="31" t="s">
        <v>12</v>
      </c>
      <c r="F63" s="31" t="s">
        <v>15</v>
      </c>
      <c r="G63" s="31">
        <v>4</v>
      </c>
      <c r="H63" s="31" t="s">
        <v>20</v>
      </c>
      <c r="I63" s="52"/>
      <c r="J63" s="52"/>
      <c r="K63" s="53">
        <f>SUMIF('قيود اليوميه'!G:G,'ميزان المراجعه'!C63,'قيود اليوميه'!D:D)</f>
        <v>0</v>
      </c>
      <c r="L63" s="53">
        <f>SUMIF('قيود اليوميه'!G:G,'ميزان المراجعه'!C63,'قيود اليوميه'!E:E)</f>
        <v>0</v>
      </c>
      <c r="M63" s="53" t="str">
        <f t="shared" ref="M63:M66" si="23">IF(I63-J63+K63-L63&gt;0,I63-J63+K63-L63,"")</f>
        <v/>
      </c>
      <c r="N63" s="53" t="str">
        <f t="shared" ref="N63:N66" si="24">IF(J63-I63+L63-K63&gt;0,J63-I63+L63-K63,"")</f>
        <v/>
      </c>
      <c r="O63" s="54" t="str">
        <f t="shared" si="2"/>
        <v/>
      </c>
      <c r="P63" s="31" t="s">
        <v>40</v>
      </c>
      <c r="Q63" s="31" t="s">
        <v>31</v>
      </c>
    </row>
    <row r="64" spans="3:17" ht="21">
      <c r="C64" s="31">
        <v>223001</v>
      </c>
      <c r="D64" s="31" t="s">
        <v>76</v>
      </c>
      <c r="E64" s="31" t="s">
        <v>12</v>
      </c>
      <c r="F64" s="31" t="s">
        <v>15</v>
      </c>
      <c r="G64" s="31">
        <v>4</v>
      </c>
      <c r="H64" s="31" t="s">
        <v>20</v>
      </c>
      <c r="I64" s="52"/>
      <c r="J64" s="52"/>
      <c r="K64" s="53">
        <f>SUMIF('قيود اليوميه'!G:G,'ميزان المراجعه'!C64,'قيود اليوميه'!D:D)</f>
        <v>0</v>
      </c>
      <c r="L64" s="53">
        <f>SUMIF('قيود اليوميه'!G:G,'ميزان المراجعه'!C64,'قيود اليوميه'!E:E)</f>
        <v>0</v>
      </c>
      <c r="M64" s="53" t="str">
        <f t="shared" si="23"/>
        <v/>
      </c>
      <c r="N64" s="53" t="str">
        <f t="shared" si="24"/>
        <v/>
      </c>
      <c r="O64" s="54" t="str">
        <f t="shared" si="2"/>
        <v/>
      </c>
      <c r="P64" s="31" t="s">
        <v>43</v>
      </c>
      <c r="Q64" s="31" t="s">
        <v>31</v>
      </c>
    </row>
    <row r="65" spans="3:17" ht="21">
      <c r="C65" s="31">
        <v>223002</v>
      </c>
      <c r="D65" s="31" t="s">
        <v>77</v>
      </c>
      <c r="E65" s="31" t="s">
        <v>12</v>
      </c>
      <c r="F65" s="31" t="s">
        <v>15</v>
      </c>
      <c r="G65" s="31">
        <v>4</v>
      </c>
      <c r="H65" s="31" t="s">
        <v>20</v>
      </c>
      <c r="I65" s="52"/>
      <c r="J65" s="52"/>
      <c r="K65" s="53">
        <f>SUMIF('قيود اليوميه'!G:G,'ميزان المراجعه'!C65,'قيود اليوميه'!D:D)</f>
        <v>0</v>
      </c>
      <c r="L65" s="53">
        <f>SUMIF('قيود اليوميه'!G:G,'ميزان المراجعه'!C65,'قيود اليوميه'!E:E)</f>
        <v>0</v>
      </c>
      <c r="M65" s="53" t="str">
        <f t="shared" si="23"/>
        <v/>
      </c>
      <c r="N65" s="53" t="str">
        <f t="shared" si="24"/>
        <v/>
      </c>
      <c r="O65" s="54" t="str">
        <f t="shared" si="2"/>
        <v/>
      </c>
      <c r="P65" s="31" t="s">
        <v>78</v>
      </c>
      <c r="Q65" s="31" t="s">
        <v>65</v>
      </c>
    </row>
    <row r="66" spans="3:17" ht="21">
      <c r="C66" s="31">
        <v>223003</v>
      </c>
      <c r="D66" s="31" t="s">
        <v>79</v>
      </c>
      <c r="E66" s="31" t="s">
        <v>12</v>
      </c>
      <c r="F66" s="31" t="s">
        <v>15</v>
      </c>
      <c r="G66" s="31">
        <v>4</v>
      </c>
      <c r="H66" s="31" t="s">
        <v>20</v>
      </c>
      <c r="I66" s="52"/>
      <c r="J66" s="52"/>
      <c r="K66" s="53">
        <f>SUMIF('قيود اليوميه'!G:G,'ميزان المراجعه'!C66,'قيود اليوميه'!D:D)</f>
        <v>0</v>
      </c>
      <c r="L66" s="53">
        <f>SUMIF('قيود اليوميه'!G:G,'ميزان المراجعه'!C66,'قيود اليوميه'!E:E)</f>
        <v>0</v>
      </c>
      <c r="M66" s="53" t="str">
        <f t="shared" si="23"/>
        <v/>
      </c>
      <c r="N66" s="53" t="str">
        <f t="shared" si="24"/>
        <v/>
      </c>
      <c r="O66" s="54" t="str">
        <f t="shared" si="2"/>
        <v/>
      </c>
      <c r="P66" s="31" t="s">
        <v>80</v>
      </c>
      <c r="Q66" s="31" t="s">
        <v>65</v>
      </c>
    </row>
    <row r="67" spans="3:17" ht="21">
      <c r="C67" s="23">
        <v>224</v>
      </c>
      <c r="D67" s="23" t="s">
        <v>81</v>
      </c>
      <c r="E67" s="23" t="s">
        <v>12</v>
      </c>
      <c r="F67" s="23" t="s">
        <v>15</v>
      </c>
      <c r="G67" s="23">
        <v>3</v>
      </c>
      <c r="H67" s="23" t="s">
        <v>16</v>
      </c>
      <c r="I67" s="23"/>
      <c r="J67" s="23"/>
      <c r="K67" s="5"/>
      <c r="L67" s="5"/>
      <c r="M67" s="5"/>
      <c r="N67" s="5"/>
      <c r="O67" s="5"/>
      <c r="P67" s="23"/>
      <c r="Q67" s="23"/>
    </row>
    <row r="68" spans="3:17" ht="21">
      <c r="C68" s="31">
        <v>224000</v>
      </c>
      <c r="D68" s="31" t="s">
        <v>82</v>
      </c>
      <c r="E68" s="31" t="s">
        <v>12</v>
      </c>
      <c r="F68" s="31" t="s">
        <v>15</v>
      </c>
      <c r="G68" s="31">
        <v>4</v>
      </c>
      <c r="H68" s="31" t="s">
        <v>20</v>
      </c>
      <c r="I68" s="52"/>
      <c r="J68" s="52"/>
      <c r="K68" s="53">
        <f>SUMIF('قيود اليوميه'!G:G,'ميزان المراجعه'!C68,'قيود اليوميه'!D:D)</f>
        <v>0</v>
      </c>
      <c r="L68" s="53">
        <f>SUMIF('قيود اليوميه'!G:G,'ميزان المراجعه'!C68,'قيود اليوميه'!E:E)</f>
        <v>0</v>
      </c>
      <c r="M68" s="53" t="str">
        <f>IF(I68-J68+K68-L68&gt;0,I68-J68+K68-L68,"")</f>
        <v/>
      </c>
      <c r="N68" s="53" t="str">
        <f>IF(J68-I68+L68-K68&gt;0,J68-I68+L68-K68,"")</f>
        <v/>
      </c>
      <c r="O68" s="54" t="str">
        <f t="shared" si="2"/>
        <v/>
      </c>
      <c r="P68" s="31" t="s">
        <v>81</v>
      </c>
      <c r="Q68" s="31" t="s">
        <v>65</v>
      </c>
    </row>
    <row r="69" spans="3:17" ht="21">
      <c r="C69" s="43">
        <v>23</v>
      </c>
      <c r="D69" s="43" t="s">
        <v>83</v>
      </c>
      <c r="E69" s="43" t="s">
        <v>12</v>
      </c>
      <c r="F69" s="43" t="s">
        <v>15</v>
      </c>
      <c r="G69" s="43">
        <v>2</v>
      </c>
      <c r="H69" s="43" t="s">
        <v>16</v>
      </c>
      <c r="I69" s="43"/>
      <c r="J69" s="43"/>
      <c r="K69" s="55"/>
      <c r="L69" s="55"/>
      <c r="M69" s="55"/>
      <c r="N69" s="55"/>
      <c r="O69" s="55"/>
      <c r="P69" s="39"/>
      <c r="Q69" s="43"/>
    </row>
    <row r="70" spans="3:17" ht="21">
      <c r="C70" s="23">
        <v>231</v>
      </c>
      <c r="D70" s="23" t="s">
        <v>84</v>
      </c>
      <c r="E70" s="23" t="s">
        <v>12</v>
      </c>
      <c r="F70" s="23" t="s">
        <v>15</v>
      </c>
      <c r="G70" s="23">
        <v>3</v>
      </c>
      <c r="H70" s="23" t="s">
        <v>16</v>
      </c>
      <c r="I70" s="23"/>
      <c r="J70" s="23"/>
      <c r="K70" s="5"/>
      <c r="L70" s="5"/>
      <c r="M70" s="5"/>
      <c r="N70" s="5"/>
      <c r="O70" s="5"/>
      <c r="P70" s="58"/>
      <c r="Q70" s="58"/>
    </row>
    <row r="71" spans="3:17" ht="21">
      <c r="C71" s="31">
        <v>231000</v>
      </c>
      <c r="D71" s="31" t="s">
        <v>85</v>
      </c>
      <c r="E71" s="31" t="s">
        <v>12</v>
      </c>
      <c r="F71" s="31" t="s">
        <v>15</v>
      </c>
      <c r="G71" s="31">
        <v>4</v>
      </c>
      <c r="H71" s="31" t="s">
        <v>20</v>
      </c>
      <c r="I71" s="52"/>
      <c r="J71" s="52"/>
      <c r="K71" s="53">
        <f>SUMIF('قيود اليوميه'!G:G,'ميزان المراجعه'!C71,'قيود اليوميه'!D:D)</f>
        <v>100000</v>
      </c>
      <c r="L71" s="53">
        <f>SUMIF('قيود اليوميه'!G:G,'ميزان المراجعه'!C71,'قيود اليوميه'!E:E)</f>
        <v>165000</v>
      </c>
      <c r="M71" s="53" t="str">
        <f t="shared" ref="M71:M74" si="25">IF(I71-J71+K71-L71&gt;0,I71-J71+K71-L71,"")</f>
        <v/>
      </c>
      <c r="N71" s="53">
        <f t="shared" ref="N71:N74" si="26">IF(J71-I71+L71-K71&gt;0,J71-I71+L71-K71,"")</f>
        <v>65000</v>
      </c>
      <c r="O71" s="54">
        <f t="shared" si="2"/>
        <v>65000</v>
      </c>
      <c r="P71" s="31" t="s">
        <v>84</v>
      </c>
      <c r="Q71" s="31" t="s">
        <v>83</v>
      </c>
    </row>
    <row r="72" spans="3:17" ht="21">
      <c r="C72" s="31">
        <v>231001</v>
      </c>
      <c r="D72" s="31" t="s">
        <v>86</v>
      </c>
      <c r="E72" s="31" t="s">
        <v>12</v>
      </c>
      <c r="F72" s="31" t="s">
        <v>15</v>
      </c>
      <c r="G72" s="31">
        <v>4</v>
      </c>
      <c r="H72" s="31" t="s">
        <v>20</v>
      </c>
      <c r="I72" s="52"/>
      <c r="J72" s="52"/>
      <c r="K72" s="53">
        <f>SUMIF('قيود اليوميه'!G:G,'ميزان المراجعه'!C72,'قيود اليوميه'!D:D)</f>
        <v>0</v>
      </c>
      <c r="L72" s="53">
        <f>SUMIF('قيود اليوميه'!G:G,'ميزان المراجعه'!C72,'قيود اليوميه'!E:E)</f>
        <v>0</v>
      </c>
      <c r="M72" s="53" t="str">
        <f t="shared" si="25"/>
        <v/>
      </c>
      <c r="N72" s="53" t="str">
        <f t="shared" si="26"/>
        <v/>
      </c>
      <c r="O72" s="54" t="str">
        <f t="shared" si="2"/>
        <v/>
      </c>
      <c r="P72" s="31" t="s">
        <v>84</v>
      </c>
      <c r="Q72" s="31" t="s">
        <v>83</v>
      </c>
    </row>
    <row r="73" spans="3:17" ht="21">
      <c r="C73" s="31">
        <v>231002</v>
      </c>
      <c r="D73" s="31" t="s">
        <v>87</v>
      </c>
      <c r="E73" s="31" t="s">
        <v>12</v>
      </c>
      <c r="F73" s="31" t="s">
        <v>15</v>
      </c>
      <c r="G73" s="31">
        <v>4</v>
      </c>
      <c r="H73" s="31" t="s">
        <v>20</v>
      </c>
      <c r="I73" s="52"/>
      <c r="J73" s="52"/>
      <c r="K73" s="53">
        <f>SUMIF('قيود اليوميه'!G:G,'ميزان المراجعه'!C73,'قيود اليوميه'!D:D)</f>
        <v>0</v>
      </c>
      <c r="L73" s="53">
        <f>SUMIF('قيود اليوميه'!G:G,'ميزان المراجعه'!C73,'قيود اليوميه'!E:E)</f>
        <v>0</v>
      </c>
      <c r="M73" s="53" t="str">
        <f t="shared" si="25"/>
        <v/>
      </c>
      <c r="N73" s="53" t="str">
        <f t="shared" si="26"/>
        <v/>
      </c>
      <c r="O73" s="54" t="str">
        <f t="shared" si="2"/>
        <v/>
      </c>
      <c r="P73" s="31" t="s">
        <v>84</v>
      </c>
      <c r="Q73" s="31" t="s">
        <v>83</v>
      </c>
    </row>
    <row r="74" spans="3:17" ht="21">
      <c r="C74" s="31">
        <v>231003</v>
      </c>
      <c r="D74" s="31" t="s">
        <v>88</v>
      </c>
      <c r="E74" s="31" t="s">
        <v>12</v>
      </c>
      <c r="F74" s="31" t="s">
        <v>15</v>
      </c>
      <c r="G74" s="31">
        <v>4</v>
      </c>
      <c r="H74" s="31" t="s">
        <v>20</v>
      </c>
      <c r="I74" s="52"/>
      <c r="J74" s="52"/>
      <c r="K74" s="53">
        <f>SUMIF('قيود اليوميه'!G:G,'ميزان المراجعه'!C74,'قيود اليوميه'!D:D)</f>
        <v>0</v>
      </c>
      <c r="L74" s="53">
        <f>SUMIF('قيود اليوميه'!G:G,'ميزان المراجعه'!C74,'قيود اليوميه'!E:E)</f>
        <v>0</v>
      </c>
      <c r="M74" s="53" t="str">
        <f t="shared" si="25"/>
        <v/>
      </c>
      <c r="N74" s="53" t="str">
        <f t="shared" si="26"/>
        <v/>
      </c>
      <c r="O74" s="54" t="str">
        <f t="shared" ref="O74:O137" si="27">IFERROR(IF(N74&lt;&gt;"",N74,M74*-1),"")</f>
        <v/>
      </c>
      <c r="P74" s="31" t="s">
        <v>84</v>
      </c>
      <c r="Q74" s="31" t="s">
        <v>83</v>
      </c>
    </row>
    <row r="75" spans="3:17" ht="21">
      <c r="C75" s="23">
        <v>232</v>
      </c>
      <c r="D75" s="23" t="s">
        <v>89</v>
      </c>
      <c r="E75" s="23" t="s">
        <v>12</v>
      </c>
      <c r="F75" s="23" t="s">
        <v>15</v>
      </c>
      <c r="G75" s="23">
        <v>3</v>
      </c>
      <c r="H75" s="23" t="s">
        <v>16</v>
      </c>
      <c r="I75" s="23"/>
      <c r="J75" s="23"/>
      <c r="K75" s="5"/>
      <c r="L75" s="5"/>
      <c r="M75" s="5"/>
      <c r="N75" s="5"/>
      <c r="O75" s="5"/>
      <c r="P75" s="58"/>
      <c r="Q75" s="58"/>
    </row>
    <row r="76" spans="3:17" ht="21">
      <c r="C76" s="31">
        <v>232000</v>
      </c>
      <c r="D76" s="31" t="s">
        <v>90</v>
      </c>
      <c r="E76" s="31" t="s">
        <v>12</v>
      </c>
      <c r="F76" s="31" t="s">
        <v>15</v>
      </c>
      <c r="G76" s="31">
        <v>4</v>
      </c>
      <c r="H76" s="31" t="s">
        <v>20</v>
      </c>
      <c r="I76" s="52"/>
      <c r="J76" s="52"/>
      <c r="K76" s="53">
        <f>SUMIF('قيود اليوميه'!G:G,'ميزان المراجعه'!C76,'قيود اليوميه'!D:D)</f>
        <v>20000</v>
      </c>
      <c r="L76" s="53">
        <f>SUMIF('قيود اليوميه'!G:G,'ميزان المراجعه'!C76,'قيود اليوميه'!E:E)</f>
        <v>20000</v>
      </c>
      <c r="M76" s="53" t="str">
        <f t="shared" ref="M76:M79" si="28">IF(I76-J76+K76-L76&gt;0,I76-J76+K76-L76,"")</f>
        <v/>
      </c>
      <c r="N76" s="53" t="str">
        <f t="shared" ref="N76:N79" si="29">IF(J76-I76+L76-K76&gt;0,J76-I76+L76-K76,"")</f>
        <v/>
      </c>
      <c r="O76" s="54" t="str">
        <f t="shared" si="27"/>
        <v/>
      </c>
      <c r="P76" s="31" t="s">
        <v>89</v>
      </c>
      <c r="Q76" s="31" t="s">
        <v>83</v>
      </c>
    </row>
    <row r="77" spans="3:17" ht="21">
      <c r="C77" s="31">
        <v>232001</v>
      </c>
      <c r="D77" s="31" t="s">
        <v>91</v>
      </c>
      <c r="E77" s="31" t="s">
        <v>12</v>
      </c>
      <c r="F77" s="31" t="s">
        <v>15</v>
      </c>
      <c r="G77" s="31">
        <v>4</v>
      </c>
      <c r="H77" s="31" t="s">
        <v>20</v>
      </c>
      <c r="I77" s="52"/>
      <c r="J77" s="52"/>
      <c r="K77" s="53">
        <f>SUMIF('قيود اليوميه'!G:G,'ميزان المراجعه'!C77,'قيود اليوميه'!D:D)</f>
        <v>0</v>
      </c>
      <c r="L77" s="53">
        <f>SUMIF('قيود اليوميه'!G:G,'ميزان المراجعه'!C77,'قيود اليوميه'!E:E)</f>
        <v>0</v>
      </c>
      <c r="M77" s="53" t="str">
        <f t="shared" si="28"/>
        <v/>
      </c>
      <c r="N77" s="53" t="str">
        <f t="shared" si="29"/>
        <v/>
      </c>
      <c r="O77" s="54" t="str">
        <f t="shared" si="27"/>
        <v/>
      </c>
      <c r="P77" s="31" t="s">
        <v>89</v>
      </c>
      <c r="Q77" s="31" t="s">
        <v>83</v>
      </c>
    </row>
    <row r="78" spans="3:17" ht="21">
      <c r="C78" s="31">
        <v>232002</v>
      </c>
      <c r="D78" s="31" t="s">
        <v>92</v>
      </c>
      <c r="E78" s="31" t="s">
        <v>12</v>
      </c>
      <c r="F78" s="31" t="s">
        <v>15</v>
      </c>
      <c r="G78" s="31">
        <v>4</v>
      </c>
      <c r="H78" s="31" t="s">
        <v>20</v>
      </c>
      <c r="I78" s="52"/>
      <c r="J78" s="52"/>
      <c r="K78" s="53">
        <f>SUMIF('قيود اليوميه'!G:G,'ميزان المراجعه'!C78,'قيود اليوميه'!D:D)</f>
        <v>0</v>
      </c>
      <c r="L78" s="53">
        <f>SUMIF('قيود اليوميه'!G:G,'ميزان المراجعه'!C78,'قيود اليوميه'!E:E)</f>
        <v>0</v>
      </c>
      <c r="M78" s="53" t="str">
        <f t="shared" si="28"/>
        <v/>
      </c>
      <c r="N78" s="53" t="str">
        <f t="shared" si="29"/>
        <v/>
      </c>
      <c r="O78" s="54" t="str">
        <f t="shared" si="27"/>
        <v/>
      </c>
      <c r="P78" s="31" t="s">
        <v>89</v>
      </c>
      <c r="Q78" s="31" t="s">
        <v>83</v>
      </c>
    </row>
    <row r="79" spans="3:17" ht="21">
      <c r="C79" s="31">
        <v>232003</v>
      </c>
      <c r="D79" s="31" t="s">
        <v>93</v>
      </c>
      <c r="E79" s="31" t="s">
        <v>12</v>
      </c>
      <c r="F79" s="31" t="s">
        <v>15</v>
      </c>
      <c r="G79" s="31">
        <v>4</v>
      </c>
      <c r="H79" s="31" t="s">
        <v>20</v>
      </c>
      <c r="I79" s="52"/>
      <c r="J79" s="52"/>
      <c r="K79" s="53">
        <f>SUMIF('قيود اليوميه'!G:G,'ميزان المراجعه'!C79,'قيود اليوميه'!D:D)</f>
        <v>0</v>
      </c>
      <c r="L79" s="53">
        <f>SUMIF('قيود اليوميه'!G:G,'ميزان المراجعه'!C79,'قيود اليوميه'!E:E)</f>
        <v>0</v>
      </c>
      <c r="M79" s="53" t="str">
        <f t="shared" si="28"/>
        <v/>
      </c>
      <c r="N79" s="53" t="str">
        <f t="shared" si="29"/>
        <v/>
      </c>
      <c r="O79" s="54" t="str">
        <f t="shared" si="27"/>
        <v/>
      </c>
      <c r="P79" s="31" t="s">
        <v>89</v>
      </c>
      <c r="Q79" s="31" t="s">
        <v>83</v>
      </c>
    </row>
    <row r="80" spans="3:17" ht="21">
      <c r="C80" s="23">
        <v>233</v>
      </c>
      <c r="D80" s="23" t="s">
        <v>94</v>
      </c>
      <c r="E80" s="23" t="s">
        <v>12</v>
      </c>
      <c r="F80" s="23" t="s">
        <v>15</v>
      </c>
      <c r="G80" s="23">
        <v>3</v>
      </c>
      <c r="H80" s="23" t="s">
        <v>16</v>
      </c>
      <c r="I80" s="23"/>
      <c r="J80" s="23"/>
      <c r="K80" s="5"/>
      <c r="L80" s="5"/>
      <c r="M80" s="5"/>
      <c r="N80" s="5"/>
      <c r="O80" s="5"/>
      <c r="P80" s="58"/>
      <c r="Q80" s="58"/>
    </row>
    <row r="81" spans="3:17" ht="21">
      <c r="C81" s="31">
        <v>233000</v>
      </c>
      <c r="D81" s="31" t="s">
        <v>95</v>
      </c>
      <c r="E81" s="31" t="s">
        <v>12</v>
      </c>
      <c r="F81" s="31" t="s">
        <v>15</v>
      </c>
      <c r="G81" s="31">
        <v>4</v>
      </c>
      <c r="H81" s="31" t="s">
        <v>20</v>
      </c>
      <c r="I81" s="52"/>
      <c r="J81" s="52"/>
      <c r="K81" s="53">
        <f>SUMIF('قيود اليوميه'!G:G,'ميزان المراجعه'!C81,'قيود اليوميه'!D:D)</f>
        <v>0</v>
      </c>
      <c r="L81" s="53">
        <f>SUMIF('قيود اليوميه'!G:G,'ميزان المراجعه'!C81,'قيود اليوميه'!E:E)</f>
        <v>0</v>
      </c>
      <c r="M81" s="53" t="str">
        <f t="shared" ref="M81:M84" si="30">IF(I81-J81+K81-L81&gt;0,I81-J81+K81-L81,"")</f>
        <v/>
      </c>
      <c r="N81" s="53" t="str">
        <f t="shared" ref="N81:N84" si="31">IF(J81-I81+L81-K81&gt;0,J81-I81+L81-K81,"")</f>
        <v/>
      </c>
      <c r="O81" s="54" t="str">
        <f t="shared" si="27"/>
        <v/>
      </c>
      <c r="P81" s="31" t="s">
        <v>94</v>
      </c>
      <c r="Q81" s="31" t="s">
        <v>83</v>
      </c>
    </row>
    <row r="82" spans="3:17" ht="21">
      <c r="C82" s="31">
        <v>233001</v>
      </c>
      <c r="D82" s="31" t="s">
        <v>96</v>
      </c>
      <c r="E82" s="31" t="s">
        <v>12</v>
      </c>
      <c r="F82" s="31" t="s">
        <v>15</v>
      </c>
      <c r="G82" s="31">
        <v>4</v>
      </c>
      <c r="H82" s="31" t="s">
        <v>20</v>
      </c>
      <c r="I82" s="52"/>
      <c r="J82" s="52"/>
      <c r="K82" s="53">
        <f>SUMIF('قيود اليوميه'!G:G,'ميزان المراجعه'!C82,'قيود اليوميه'!D:D)</f>
        <v>30000</v>
      </c>
      <c r="L82" s="53">
        <f>SUMIF('قيود اليوميه'!G:G,'ميزان المراجعه'!C82,'قيود اليوميه'!E:E)</f>
        <v>30000</v>
      </c>
      <c r="M82" s="53" t="str">
        <f t="shared" si="30"/>
        <v/>
      </c>
      <c r="N82" s="53" t="str">
        <f t="shared" si="31"/>
        <v/>
      </c>
      <c r="O82" s="54" t="str">
        <f t="shared" si="27"/>
        <v/>
      </c>
      <c r="P82" s="31" t="s">
        <v>94</v>
      </c>
      <c r="Q82" s="31" t="s">
        <v>83</v>
      </c>
    </row>
    <row r="83" spans="3:17" ht="21">
      <c r="C83" s="31">
        <v>233002</v>
      </c>
      <c r="D83" s="31" t="s">
        <v>97</v>
      </c>
      <c r="E83" s="31" t="s">
        <v>12</v>
      </c>
      <c r="F83" s="31" t="s">
        <v>15</v>
      </c>
      <c r="G83" s="31">
        <v>4</v>
      </c>
      <c r="H83" s="31" t="s">
        <v>20</v>
      </c>
      <c r="I83" s="52"/>
      <c r="J83" s="52"/>
      <c r="K83" s="53">
        <f>SUMIF('قيود اليوميه'!G:G,'ميزان المراجعه'!C83,'قيود اليوميه'!D:D)</f>
        <v>0</v>
      </c>
      <c r="L83" s="53">
        <f>SUMIF('قيود اليوميه'!G:G,'ميزان المراجعه'!C83,'قيود اليوميه'!E:E)</f>
        <v>0</v>
      </c>
      <c r="M83" s="53" t="str">
        <f t="shared" si="30"/>
        <v/>
      </c>
      <c r="N83" s="53" t="str">
        <f t="shared" si="31"/>
        <v/>
      </c>
      <c r="O83" s="54" t="str">
        <f t="shared" si="27"/>
        <v/>
      </c>
      <c r="P83" s="31" t="s">
        <v>94</v>
      </c>
      <c r="Q83" s="31" t="s">
        <v>83</v>
      </c>
    </row>
    <row r="84" spans="3:17" ht="21">
      <c r="C84" s="31">
        <v>233003</v>
      </c>
      <c r="D84" s="31" t="s">
        <v>98</v>
      </c>
      <c r="E84" s="31" t="s">
        <v>12</v>
      </c>
      <c r="F84" s="31" t="s">
        <v>15</v>
      </c>
      <c r="G84" s="31">
        <v>4</v>
      </c>
      <c r="H84" s="31" t="s">
        <v>20</v>
      </c>
      <c r="I84" s="52"/>
      <c r="J84" s="52"/>
      <c r="K84" s="53">
        <f>SUMIF('قيود اليوميه'!G:G,'ميزان المراجعه'!C84,'قيود اليوميه'!D:D)</f>
        <v>5000</v>
      </c>
      <c r="L84" s="53">
        <f>SUMIF('قيود اليوميه'!G:G,'ميزان المراجعه'!C84,'قيود اليوميه'!E:E)</f>
        <v>15000</v>
      </c>
      <c r="M84" s="53" t="str">
        <f t="shared" si="30"/>
        <v/>
      </c>
      <c r="N84" s="53">
        <f t="shared" si="31"/>
        <v>10000</v>
      </c>
      <c r="O84" s="54">
        <f t="shared" si="27"/>
        <v>10000</v>
      </c>
      <c r="P84" s="31" t="s">
        <v>94</v>
      </c>
      <c r="Q84" s="31" t="s">
        <v>83</v>
      </c>
    </row>
    <row r="85" spans="3:17" ht="21">
      <c r="C85" s="23">
        <v>234</v>
      </c>
      <c r="D85" s="23" t="s">
        <v>99</v>
      </c>
      <c r="E85" s="23" t="s">
        <v>12</v>
      </c>
      <c r="F85" s="23" t="s">
        <v>15</v>
      </c>
      <c r="G85" s="23">
        <v>3</v>
      </c>
      <c r="H85" s="23" t="s">
        <v>16</v>
      </c>
      <c r="I85" s="23"/>
      <c r="J85" s="23"/>
      <c r="K85" s="5"/>
      <c r="L85" s="5"/>
      <c r="M85" s="5"/>
      <c r="N85" s="5"/>
      <c r="O85" s="5"/>
      <c r="P85" s="58"/>
      <c r="Q85" s="58"/>
    </row>
    <row r="86" spans="3:17" ht="21">
      <c r="C86" s="31">
        <v>234000</v>
      </c>
      <c r="D86" s="31" t="s">
        <v>100</v>
      </c>
      <c r="E86" s="31" t="s">
        <v>12</v>
      </c>
      <c r="F86" s="31" t="s">
        <v>15</v>
      </c>
      <c r="G86" s="31">
        <v>4</v>
      </c>
      <c r="H86" s="31" t="s">
        <v>20</v>
      </c>
      <c r="I86" s="52"/>
      <c r="J86" s="52"/>
      <c r="K86" s="53">
        <f>SUMIF('قيود اليوميه'!G:G,'ميزان المراجعه'!C86,'قيود اليوميه'!D:D)</f>
        <v>0</v>
      </c>
      <c r="L86" s="53">
        <f>SUMIF('قيود اليوميه'!G:G,'ميزان المراجعه'!C86,'قيود اليوميه'!E:E)</f>
        <v>0</v>
      </c>
      <c r="M86" s="53" t="str">
        <f t="shared" ref="M86:M88" si="32">IF(I86-J86+K86-L86&gt;0,I86-J86+K86-L86,"")</f>
        <v/>
      </c>
      <c r="N86" s="53" t="str">
        <f t="shared" ref="N86:N88" si="33">IF(J86-I86+L86-K86&gt;0,J86-I86+L86-K86,"")</f>
        <v/>
      </c>
      <c r="O86" s="54" t="str">
        <f t="shared" si="27"/>
        <v/>
      </c>
      <c r="P86" s="31" t="s">
        <v>99</v>
      </c>
      <c r="Q86" s="31" t="s">
        <v>83</v>
      </c>
    </row>
    <row r="87" spans="3:17" ht="21">
      <c r="C87" s="31">
        <v>234001</v>
      </c>
      <c r="D87" s="31" t="s">
        <v>101</v>
      </c>
      <c r="E87" s="31" t="s">
        <v>12</v>
      </c>
      <c r="F87" s="31" t="s">
        <v>15</v>
      </c>
      <c r="G87" s="31">
        <v>4</v>
      </c>
      <c r="H87" s="31" t="s">
        <v>20</v>
      </c>
      <c r="I87" s="52"/>
      <c r="J87" s="52"/>
      <c r="K87" s="53">
        <f>SUMIF('قيود اليوميه'!G:G,'ميزان المراجعه'!C87,'قيود اليوميه'!D:D)</f>
        <v>0</v>
      </c>
      <c r="L87" s="53">
        <f>SUMIF('قيود اليوميه'!G:G,'ميزان المراجعه'!C87,'قيود اليوميه'!E:E)</f>
        <v>0</v>
      </c>
      <c r="M87" s="53" t="str">
        <f t="shared" si="32"/>
        <v/>
      </c>
      <c r="N87" s="53" t="str">
        <f t="shared" si="33"/>
        <v/>
      </c>
      <c r="O87" s="54" t="str">
        <f t="shared" si="27"/>
        <v/>
      </c>
      <c r="P87" s="31" t="s">
        <v>99</v>
      </c>
      <c r="Q87" s="31" t="s">
        <v>83</v>
      </c>
    </row>
    <row r="88" spans="3:17" ht="21">
      <c r="C88" s="31">
        <v>234002</v>
      </c>
      <c r="D88" s="31" t="s">
        <v>102</v>
      </c>
      <c r="E88" s="31" t="s">
        <v>12</v>
      </c>
      <c r="F88" s="31" t="s">
        <v>15</v>
      </c>
      <c r="G88" s="31">
        <v>4</v>
      </c>
      <c r="H88" s="31" t="s">
        <v>20</v>
      </c>
      <c r="I88" s="52"/>
      <c r="J88" s="52"/>
      <c r="K88" s="53">
        <f>SUMIF('قيود اليوميه'!G:G,'ميزان المراجعه'!C88,'قيود اليوميه'!D:D)</f>
        <v>0</v>
      </c>
      <c r="L88" s="53">
        <f>SUMIF('قيود اليوميه'!G:G,'ميزان المراجعه'!C88,'قيود اليوميه'!E:E)</f>
        <v>0</v>
      </c>
      <c r="M88" s="53" t="str">
        <f t="shared" si="32"/>
        <v/>
      </c>
      <c r="N88" s="53" t="str">
        <f t="shared" si="33"/>
        <v/>
      </c>
      <c r="O88" s="54" t="str">
        <f t="shared" si="27"/>
        <v/>
      </c>
      <c r="P88" s="31" t="s">
        <v>99</v>
      </c>
      <c r="Q88" s="31" t="s">
        <v>83</v>
      </c>
    </row>
    <row r="89" spans="3:17" ht="21">
      <c r="C89" s="23">
        <v>235</v>
      </c>
      <c r="D89" s="23" t="s">
        <v>103</v>
      </c>
      <c r="E89" s="23" t="s">
        <v>12</v>
      </c>
      <c r="F89" s="23" t="s">
        <v>15</v>
      </c>
      <c r="G89" s="23">
        <v>3</v>
      </c>
      <c r="H89" s="23" t="s">
        <v>16</v>
      </c>
      <c r="I89" s="23"/>
      <c r="J89" s="23"/>
      <c r="K89" s="5"/>
      <c r="L89" s="5"/>
      <c r="M89" s="5"/>
      <c r="N89" s="5"/>
      <c r="O89" s="5"/>
      <c r="P89" s="23"/>
      <c r="Q89" s="23"/>
    </row>
    <row r="90" spans="3:17" ht="21">
      <c r="C90" s="31">
        <v>235000</v>
      </c>
      <c r="D90" s="31" t="s">
        <v>104</v>
      </c>
      <c r="E90" s="31" t="s">
        <v>12</v>
      </c>
      <c r="F90" s="31" t="s">
        <v>15</v>
      </c>
      <c r="G90" s="31">
        <v>4</v>
      </c>
      <c r="H90" s="31" t="s">
        <v>20</v>
      </c>
      <c r="I90" s="52"/>
      <c r="J90" s="52"/>
      <c r="K90" s="53">
        <f>SUMIF('قيود اليوميه'!G:G,'ميزان المراجعه'!C90,'قيود اليوميه'!D:D)</f>
        <v>800000</v>
      </c>
      <c r="L90" s="53">
        <f>SUMIF('قيود اليوميه'!G:G,'ميزان المراجعه'!C90,'قيود اليوميه'!E:E)</f>
        <v>800000</v>
      </c>
      <c r="M90" s="53" t="str">
        <f t="shared" ref="M90:M92" si="34">IF(I90-J90+K90-L90&gt;0,I90-J90+K90-L90,"")</f>
        <v/>
      </c>
      <c r="N90" s="53" t="str">
        <f t="shared" ref="N90:N92" si="35">IF(J90-I90+L90-K90&gt;0,J90-I90+L90-K90,"")</f>
        <v/>
      </c>
      <c r="O90" s="54" t="str">
        <f t="shared" si="27"/>
        <v/>
      </c>
      <c r="P90" s="31" t="s">
        <v>103</v>
      </c>
      <c r="Q90" s="31" t="s">
        <v>83</v>
      </c>
    </row>
    <row r="91" spans="3:17" ht="21">
      <c r="C91" s="31">
        <v>235001</v>
      </c>
      <c r="D91" s="31" t="s">
        <v>105</v>
      </c>
      <c r="E91" s="31" t="s">
        <v>12</v>
      </c>
      <c r="F91" s="31" t="s">
        <v>15</v>
      </c>
      <c r="G91" s="31">
        <v>4</v>
      </c>
      <c r="H91" s="31" t="s">
        <v>20</v>
      </c>
      <c r="I91" s="52"/>
      <c r="J91" s="52"/>
      <c r="K91" s="53">
        <f>SUMIF('قيود اليوميه'!G:G,'ميزان المراجعه'!C91,'قيود اليوميه'!D:D)</f>
        <v>800000</v>
      </c>
      <c r="L91" s="53">
        <f>SUMIF('قيود اليوميه'!G:G,'ميزان المراجعه'!C91,'قيود اليوميه'!E:E)</f>
        <v>800000</v>
      </c>
      <c r="M91" s="53" t="str">
        <f t="shared" si="34"/>
        <v/>
      </c>
      <c r="N91" s="53" t="str">
        <f t="shared" si="35"/>
        <v/>
      </c>
      <c r="O91" s="54" t="str">
        <f t="shared" si="27"/>
        <v/>
      </c>
      <c r="P91" s="31" t="s">
        <v>103</v>
      </c>
      <c r="Q91" s="31" t="s">
        <v>83</v>
      </c>
    </row>
    <row r="92" spans="3:17" ht="21">
      <c r="C92" s="31">
        <v>235002</v>
      </c>
      <c r="D92" s="31" t="s">
        <v>106</v>
      </c>
      <c r="E92" s="31" t="s">
        <v>12</v>
      </c>
      <c r="F92" s="31" t="s">
        <v>15</v>
      </c>
      <c r="G92" s="31">
        <v>4</v>
      </c>
      <c r="H92" s="31" t="s">
        <v>20</v>
      </c>
      <c r="I92" s="52"/>
      <c r="J92" s="52"/>
      <c r="K92" s="53">
        <f>SUMIF('قيود اليوميه'!G:G,'ميزان المراجعه'!C92,'قيود اليوميه'!D:D)</f>
        <v>400000</v>
      </c>
      <c r="L92" s="53">
        <f>SUMIF('قيود اليوميه'!G:G,'ميزان المراجعه'!C92,'قيود اليوميه'!E:E)</f>
        <v>400000</v>
      </c>
      <c r="M92" s="53" t="str">
        <f t="shared" si="34"/>
        <v/>
      </c>
      <c r="N92" s="53" t="str">
        <f t="shared" si="35"/>
        <v/>
      </c>
      <c r="O92" s="54" t="str">
        <f t="shared" si="27"/>
        <v/>
      </c>
      <c r="P92" s="31" t="s">
        <v>103</v>
      </c>
      <c r="Q92" s="31" t="s">
        <v>83</v>
      </c>
    </row>
    <row r="93" spans="3:17" ht="21">
      <c r="C93" s="7">
        <v>3</v>
      </c>
      <c r="D93" s="7" t="s">
        <v>107</v>
      </c>
      <c r="E93" s="59" t="s">
        <v>12</v>
      </c>
      <c r="F93" s="59" t="s">
        <v>108</v>
      </c>
      <c r="G93" s="59">
        <v>1</v>
      </c>
      <c r="H93" s="59" t="s">
        <v>16</v>
      </c>
      <c r="I93" s="59"/>
      <c r="J93" s="59"/>
      <c r="K93" s="62"/>
      <c r="L93" s="62"/>
      <c r="M93" s="62"/>
      <c r="N93" s="62"/>
      <c r="O93" s="62"/>
      <c r="P93" s="59"/>
      <c r="Q93" s="59"/>
    </row>
    <row r="94" spans="3:17" ht="21">
      <c r="C94" s="43">
        <v>31</v>
      </c>
      <c r="D94" s="43" t="s">
        <v>109</v>
      </c>
      <c r="E94" s="60" t="s">
        <v>12</v>
      </c>
      <c r="F94" s="60" t="s">
        <v>108</v>
      </c>
      <c r="G94" s="60">
        <v>2</v>
      </c>
      <c r="H94" s="60" t="s">
        <v>16</v>
      </c>
      <c r="I94" s="60"/>
      <c r="J94" s="60"/>
      <c r="K94" s="63"/>
      <c r="L94" s="63"/>
      <c r="M94" s="63"/>
      <c r="N94" s="63"/>
      <c r="O94" s="63"/>
      <c r="P94" s="60"/>
      <c r="Q94" s="60"/>
    </row>
    <row r="95" spans="3:17" ht="21">
      <c r="C95" s="23">
        <v>311</v>
      </c>
      <c r="D95" s="23" t="s">
        <v>110</v>
      </c>
      <c r="E95" s="61" t="s">
        <v>12</v>
      </c>
      <c r="F95" s="61" t="s">
        <v>108</v>
      </c>
      <c r="G95" s="61">
        <v>3</v>
      </c>
      <c r="H95" s="61" t="s">
        <v>16</v>
      </c>
      <c r="I95" s="61"/>
      <c r="J95" s="61"/>
      <c r="K95" s="64"/>
      <c r="L95" s="64"/>
      <c r="M95" s="64"/>
      <c r="N95" s="64"/>
      <c r="O95" s="64"/>
      <c r="P95" s="61"/>
      <c r="Q95" s="61"/>
    </row>
    <row r="96" spans="3:17" ht="21">
      <c r="C96" s="31">
        <v>311000</v>
      </c>
      <c r="D96" s="31" t="s">
        <v>111</v>
      </c>
      <c r="E96" s="36" t="s">
        <v>12</v>
      </c>
      <c r="F96" s="36" t="s">
        <v>108</v>
      </c>
      <c r="G96" s="36">
        <v>4</v>
      </c>
      <c r="H96" s="36" t="s">
        <v>20</v>
      </c>
      <c r="I96" s="65"/>
      <c r="J96" s="65"/>
      <c r="K96" s="53">
        <f>SUMIF('قيود اليوميه'!G:G,'ميزان المراجعه'!C96,'قيود اليوميه'!D:D)</f>
        <v>0</v>
      </c>
      <c r="L96" s="53">
        <f>SUMIF('قيود اليوميه'!G:G,'ميزان المراجعه'!C96,'قيود اليوميه'!E:E)</f>
        <v>300000</v>
      </c>
      <c r="M96" s="53" t="str">
        <f t="shared" ref="M96:M99" si="36">IF(I96-J96+K96-L96&gt;0,I96-J96+K96-L96,"")</f>
        <v/>
      </c>
      <c r="N96" s="53">
        <f t="shared" ref="N96:N99" si="37">IF(J96-I96+L96-K96&gt;0,J96-I96+L96-K96,"")</f>
        <v>300000</v>
      </c>
      <c r="O96" s="54">
        <f t="shared" si="27"/>
        <v>300000</v>
      </c>
      <c r="P96" s="31" t="s">
        <v>110</v>
      </c>
      <c r="Q96" s="31" t="s">
        <v>109</v>
      </c>
    </row>
    <row r="97" spans="3:17" ht="21">
      <c r="C97" s="31">
        <v>311001</v>
      </c>
      <c r="D97" s="31" t="s">
        <v>112</v>
      </c>
      <c r="E97" s="36" t="s">
        <v>12</v>
      </c>
      <c r="F97" s="36" t="s">
        <v>108</v>
      </c>
      <c r="G97" s="36">
        <v>4</v>
      </c>
      <c r="H97" s="36" t="s">
        <v>20</v>
      </c>
      <c r="I97" s="65"/>
      <c r="J97" s="65"/>
      <c r="K97" s="53">
        <f>SUMIF('قيود اليوميه'!G:G,'ميزان المراجعه'!C97,'قيود اليوميه'!D:D)</f>
        <v>0</v>
      </c>
      <c r="L97" s="53">
        <f>SUMIF('قيود اليوميه'!G:G,'ميزان المراجعه'!C97,'قيود اليوميه'!E:E)</f>
        <v>0</v>
      </c>
      <c r="M97" s="53" t="str">
        <f t="shared" si="36"/>
        <v/>
      </c>
      <c r="N97" s="53" t="str">
        <f t="shared" si="37"/>
        <v/>
      </c>
      <c r="O97" s="54" t="str">
        <f t="shared" si="27"/>
        <v/>
      </c>
      <c r="P97" s="31" t="s">
        <v>110</v>
      </c>
      <c r="Q97" s="36" t="s">
        <v>109</v>
      </c>
    </row>
    <row r="98" spans="3:17" ht="21">
      <c r="C98" s="31">
        <v>311002</v>
      </c>
      <c r="D98" s="31" t="s">
        <v>113</v>
      </c>
      <c r="E98" s="36" t="s">
        <v>12</v>
      </c>
      <c r="F98" s="36" t="s">
        <v>108</v>
      </c>
      <c r="G98" s="36">
        <v>4</v>
      </c>
      <c r="H98" s="36" t="s">
        <v>20</v>
      </c>
      <c r="I98" s="65"/>
      <c r="J98" s="65"/>
      <c r="K98" s="53">
        <f>SUMIF('قيود اليوميه'!G:G,'ميزان المراجعه'!C98,'قيود اليوميه'!D:D)</f>
        <v>0</v>
      </c>
      <c r="L98" s="53">
        <f>SUMIF('قيود اليوميه'!G:G,'ميزان المراجعه'!C98,'قيود اليوميه'!E:E)</f>
        <v>0</v>
      </c>
      <c r="M98" s="53" t="str">
        <f t="shared" si="36"/>
        <v/>
      </c>
      <c r="N98" s="53" t="str">
        <f t="shared" si="37"/>
        <v/>
      </c>
      <c r="O98" s="54" t="str">
        <f t="shared" si="27"/>
        <v/>
      </c>
      <c r="P98" s="31" t="s">
        <v>110</v>
      </c>
      <c r="Q98" s="36" t="s">
        <v>109</v>
      </c>
    </row>
    <row r="99" spans="3:17" ht="21">
      <c r="C99" s="31">
        <v>311003</v>
      </c>
      <c r="D99" s="31" t="s">
        <v>114</v>
      </c>
      <c r="E99" s="36" t="s">
        <v>11</v>
      </c>
      <c r="F99" s="36" t="s">
        <v>108</v>
      </c>
      <c r="G99" s="36">
        <v>4</v>
      </c>
      <c r="H99" s="36" t="s">
        <v>20</v>
      </c>
      <c r="I99" s="65"/>
      <c r="J99" s="65"/>
      <c r="K99" s="53">
        <f>SUMIF('قيود اليوميه'!G:G,'ميزان المراجعه'!C99,'قيود اليوميه'!D:D)</f>
        <v>0</v>
      </c>
      <c r="L99" s="53">
        <f>SUMIF('قيود اليوميه'!G:G,'ميزان المراجعه'!C99,'قيود اليوميه'!E:E)</f>
        <v>0</v>
      </c>
      <c r="M99" s="53" t="str">
        <f t="shared" si="36"/>
        <v/>
      </c>
      <c r="N99" s="53" t="str">
        <f t="shared" si="37"/>
        <v/>
      </c>
      <c r="O99" s="54" t="str">
        <f t="shared" si="27"/>
        <v/>
      </c>
      <c r="P99" s="31" t="s">
        <v>110</v>
      </c>
      <c r="Q99" s="36" t="s">
        <v>109</v>
      </c>
    </row>
    <row r="100" spans="3:17" ht="21">
      <c r="C100" s="23">
        <v>312</v>
      </c>
      <c r="D100" s="23" t="s">
        <v>115</v>
      </c>
      <c r="E100" s="61" t="s">
        <v>12</v>
      </c>
      <c r="F100" s="61" t="s">
        <v>108</v>
      </c>
      <c r="G100" s="61">
        <v>3</v>
      </c>
      <c r="H100" s="61" t="s">
        <v>16</v>
      </c>
      <c r="I100" s="61"/>
      <c r="J100" s="61"/>
      <c r="K100" s="64"/>
      <c r="L100" s="64"/>
      <c r="M100" s="64"/>
      <c r="N100" s="64"/>
      <c r="O100" s="64"/>
      <c r="P100" s="61"/>
      <c r="Q100" s="61"/>
    </row>
    <row r="101" spans="3:17" ht="21">
      <c r="C101" s="31">
        <v>312000</v>
      </c>
      <c r="D101" s="31" t="s">
        <v>116</v>
      </c>
      <c r="E101" s="36" t="s">
        <v>12</v>
      </c>
      <c r="F101" s="36" t="s">
        <v>108</v>
      </c>
      <c r="G101" s="36">
        <v>4</v>
      </c>
      <c r="H101" s="36" t="s">
        <v>20</v>
      </c>
      <c r="I101" s="65"/>
      <c r="J101" s="65"/>
      <c r="K101" s="53">
        <f>SUMIF('قيود اليوميه'!G:G,'ميزان المراجعه'!C101,'قيود اليوميه'!D:D)</f>
        <v>0</v>
      </c>
      <c r="L101" s="53">
        <f>SUMIF('قيود اليوميه'!G:G,'ميزان المراجعه'!C101,'قيود اليوميه'!E:E)</f>
        <v>0</v>
      </c>
      <c r="M101" s="53" t="str">
        <f t="shared" ref="M101:M102" si="38">IF(I101-J101+K101-L101&gt;0,I101-J101+K101-L101,"")</f>
        <v/>
      </c>
      <c r="N101" s="53" t="str">
        <f t="shared" ref="N101:N102" si="39">IF(J101-I101+L101-K101&gt;0,J101-I101+L101-K101,"")</f>
        <v/>
      </c>
      <c r="O101" s="54" t="str">
        <f t="shared" si="27"/>
        <v/>
      </c>
      <c r="P101" s="31" t="s">
        <v>115</v>
      </c>
      <c r="Q101" s="36" t="s">
        <v>109</v>
      </c>
    </row>
    <row r="102" spans="3:17" ht="21">
      <c r="C102" s="31">
        <v>312001</v>
      </c>
      <c r="D102" s="31" t="s">
        <v>117</v>
      </c>
      <c r="E102" s="36" t="s">
        <v>11</v>
      </c>
      <c r="F102" s="36" t="s">
        <v>108</v>
      </c>
      <c r="G102" s="36">
        <v>4</v>
      </c>
      <c r="H102" s="36" t="s">
        <v>20</v>
      </c>
      <c r="I102" s="65"/>
      <c r="J102" s="65"/>
      <c r="K102" s="53">
        <f>SUMIF('قيود اليوميه'!G:G,'ميزان المراجعه'!C102,'قيود اليوميه'!D:D)</f>
        <v>0</v>
      </c>
      <c r="L102" s="53">
        <f>SUMIF('قيود اليوميه'!G:G,'ميزان المراجعه'!C102,'قيود اليوميه'!E:E)</f>
        <v>0</v>
      </c>
      <c r="M102" s="53" t="str">
        <f t="shared" si="38"/>
        <v/>
      </c>
      <c r="N102" s="53" t="str">
        <f t="shared" si="39"/>
        <v/>
      </c>
      <c r="O102" s="54" t="str">
        <f t="shared" si="27"/>
        <v/>
      </c>
      <c r="P102" s="31" t="s">
        <v>115</v>
      </c>
      <c r="Q102" s="36" t="s">
        <v>109</v>
      </c>
    </row>
    <row r="103" spans="3:17" ht="21">
      <c r="C103" s="23">
        <v>313</v>
      </c>
      <c r="D103" s="23" t="s">
        <v>118</v>
      </c>
      <c r="E103" s="61" t="s">
        <v>12</v>
      </c>
      <c r="F103" s="61" t="s">
        <v>108</v>
      </c>
      <c r="G103" s="61">
        <v>3</v>
      </c>
      <c r="H103" s="61" t="s">
        <v>16</v>
      </c>
      <c r="I103" s="61"/>
      <c r="J103" s="61"/>
      <c r="K103" s="64"/>
      <c r="L103" s="64"/>
      <c r="M103" s="64"/>
      <c r="N103" s="64"/>
      <c r="O103" s="64"/>
      <c r="P103" s="61"/>
      <c r="Q103" s="61"/>
    </row>
    <row r="104" spans="3:17" ht="21">
      <c r="C104" s="31">
        <v>313000</v>
      </c>
      <c r="D104" s="31" t="s">
        <v>119</v>
      </c>
      <c r="E104" s="36" t="s">
        <v>12</v>
      </c>
      <c r="F104" s="36" t="s">
        <v>108</v>
      </c>
      <c r="G104" s="36">
        <v>4</v>
      </c>
      <c r="H104" s="36" t="s">
        <v>20</v>
      </c>
      <c r="I104" s="65"/>
      <c r="J104" s="65"/>
      <c r="K104" s="53">
        <f>SUMIF('قيود اليوميه'!G:G,'ميزان المراجعه'!C104,'قيود اليوميه'!D:D)</f>
        <v>0</v>
      </c>
      <c r="L104" s="53">
        <f>SUMIF('قيود اليوميه'!G:G,'ميزان المراجعه'!C104,'قيود اليوميه'!E:E)</f>
        <v>0</v>
      </c>
      <c r="M104" s="53" t="str">
        <f t="shared" ref="M104:M106" si="40">IF(I104-J104+K104-L104&gt;0,I104-J104+K104-L104,"")</f>
        <v/>
      </c>
      <c r="N104" s="53" t="str">
        <f t="shared" ref="N104:N106" si="41">IF(J104-I104+L104-K104&gt;0,J104-I104+L104-K104,"")</f>
        <v/>
      </c>
      <c r="O104" s="54" t="str">
        <f t="shared" si="27"/>
        <v/>
      </c>
      <c r="P104" s="31" t="s">
        <v>118</v>
      </c>
      <c r="Q104" s="36" t="s">
        <v>109</v>
      </c>
    </row>
    <row r="105" spans="3:17" ht="21">
      <c r="C105" s="31">
        <v>313001</v>
      </c>
      <c r="D105" s="31" t="s">
        <v>120</v>
      </c>
      <c r="E105" s="36" t="s">
        <v>12</v>
      </c>
      <c r="F105" s="36" t="s">
        <v>108</v>
      </c>
      <c r="G105" s="36">
        <v>4</v>
      </c>
      <c r="H105" s="36" t="s">
        <v>20</v>
      </c>
      <c r="I105" s="65"/>
      <c r="J105" s="65"/>
      <c r="K105" s="53">
        <f>SUMIF('قيود اليوميه'!G:G,'ميزان المراجعه'!C105,'قيود اليوميه'!D:D)</f>
        <v>0</v>
      </c>
      <c r="L105" s="53">
        <f>SUMIF('قيود اليوميه'!G:G,'ميزان المراجعه'!C105,'قيود اليوميه'!E:E)</f>
        <v>0</v>
      </c>
      <c r="M105" s="53" t="str">
        <f t="shared" si="40"/>
        <v/>
      </c>
      <c r="N105" s="53" t="str">
        <f t="shared" si="41"/>
        <v/>
      </c>
      <c r="O105" s="54" t="str">
        <f t="shared" si="27"/>
        <v/>
      </c>
      <c r="P105" s="31" t="s">
        <v>118</v>
      </c>
      <c r="Q105" s="36" t="s">
        <v>109</v>
      </c>
    </row>
    <row r="106" spans="3:17" ht="21">
      <c r="C106" s="31">
        <v>313002</v>
      </c>
      <c r="D106" s="31" t="s">
        <v>121</v>
      </c>
      <c r="E106" s="36" t="s">
        <v>12</v>
      </c>
      <c r="F106" s="36" t="s">
        <v>108</v>
      </c>
      <c r="G106" s="36">
        <v>4</v>
      </c>
      <c r="H106" s="36" t="s">
        <v>20</v>
      </c>
      <c r="I106" s="65"/>
      <c r="J106" s="65"/>
      <c r="K106" s="53">
        <f>SUMIF('قيود اليوميه'!G:G,'ميزان المراجعه'!C106,'قيود اليوميه'!D:D)</f>
        <v>0</v>
      </c>
      <c r="L106" s="53">
        <f>SUMIF('قيود اليوميه'!G:G,'ميزان المراجعه'!C106,'قيود اليوميه'!E:E)</f>
        <v>0</v>
      </c>
      <c r="M106" s="53" t="str">
        <f t="shared" si="40"/>
        <v/>
      </c>
      <c r="N106" s="53" t="str">
        <f t="shared" si="41"/>
        <v/>
      </c>
      <c r="O106" s="54" t="str">
        <f t="shared" si="27"/>
        <v/>
      </c>
      <c r="P106" s="31" t="s">
        <v>118</v>
      </c>
      <c r="Q106" s="36" t="s">
        <v>109</v>
      </c>
    </row>
    <row r="107" spans="3:17" ht="21">
      <c r="C107" s="43">
        <v>32</v>
      </c>
      <c r="D107" s="43" t="s">
        <v>122</v>
      </c>
      <c r="E107" s="60" t="s">
        <v>12</v>
      </c>
      <c r="F107" s="60" t="s">
        <v>108</v>
      </c>
      <c r="G107" s="60">
        <v>2</v>
      </c>
      <c r="H107" s="60" t="s">
        <v>16</v>
      </c>
      <c r="I107" s="60"/>
      <c r="J107" s="60"/>
      <c r="K107" s="63"/>
      <c r="L107" s="63"/>
      <c r="M107" s="63"/>
      <c r="N107" s="63"/>
      <c r="O107" s="63"/>
      <c r="P107" s="60"/>
      <c r="Q107" s="60"/>
    </row>
    <row r="108" spans="3:17" ht="21">
      <c r="C108" s="23">
        <v>321</v>
      </c>
      <c r="D108" s="23" t="s">
        <v>123</v>
      </c>
      <c r="E108" s="61" t="s">
        <v>12</v>
      </c>
      <c r="F108" s="61" t="s">
        <v>108</v>
      </c>
      <c r="G108" s="61">
        <v>3</v>
      </c>
      <c r="H108" s="61" t="s">
        <v>16</v>
      </c>
      <c r="I108" s="61"/>
      <c r="J108" s="61"/>
      <c r="K108" s="64"/>
      <c r="L108" s="64"/>
      <c r="M108" s="64"/>
      <c r="N108" s="64"/>
      <c r="O108" s="64"/>
      <c r="P108" s="61"/>
      <c r="Q108" s="61"/>
    </row>
    <row r="109" spans="3:17" ht="21">
      <c r="C109" s="31">
        <v>321000</v>
      </c>
      <c r="D109" s="31" t="s">
        <v>124</v>
      </c>
      <c r="E109" s="36" t="s">
        <v>12</v>
      </c>
      <c r="F109" s="36" t="s">
        <v>108</v>
      </c>
      <c r="G109" s="36">
        <v>4</v>
      </c>
      <c r="H109" s="36" t="s">
        <v>20</v>
      </c>
      <c r="I109" s="65"/>
      <c r="J109" s="65"/>
      <c r="K109" s="53">
        <f>SUMIF('قيود اليوميه'!G:G,'ميزان المراجعه'!C109,'قيود اليوميه'!D:D)</f>
        <v>0</v>
      </c>
      <c r="L109" s="53">
        <f>SUMIF('قيود اليوميه'!G:G,'ميزان المراجعه'!C109,'قيود اليوميه'!E:E)</f>
        <v>0</v>
      </c>
      <c r="M109" s="53" t="str">
        <f t="shared" ref="M109:M110" si="42">IF(I109-J109+K109-L109&gt;0,I109-J109+K109-L109,"")</f>
        <v/>
      </c>
      <c r="N109" s="53" t="str">
        <f t="shared" ref="N109:N110" si="43">IF(J109-I109+L109-K109&gt;0,J109-I109+L109-K109,"")</f>
        <v/>
      </c>
      <c r="O109" s="54" t="str">
        <f t="shared" si="27"/>
        <v/>
      </c>
      <c r="P109" s="31" t="s">
        <v>123</v>
      </c>
      <c r="Q109" s="31" t="s">
        <v>122</v>
      </c>
    </row>
    <row r="110" spans="3:17" ht="21">
      <c r="C110" s="31">
        <v>321001</v>
      </c>
      <c r="D110" s="31" t="s">
        <v>125</v>
      </c>
      <c r="E110" s="36" t="s">
        <v>12</v>
      </c>
      <c r="F110" s="36" t="s">
        <v>108</v>
      </c>
      <c r="G110" s="36">
        <v>4</v>
      </c>
      <c r="H110" s="36" t="s">
        <v>20</v>
      </c>
      <c r="I110" s="65"/>
      <c r="J110" s="65"/>
      <c r="K110" s="53">
        <f>SUMIF('قيود اليوميه'!G:G,'ميزان المراجعه'!C110,'قيود اليوميه'!D:D)</f>
        <v>0</v>
      </c>
      <c r="L110" s="53">
        <f>SUMIF('قيود اليوميه'!G:G,'ميزان المراجعه'!C110,'قيود اليوميه'!E:E)</f>
        <v>0</v>
      </c>
      <c r="M110" s="53" t="str">
        <f t="shared" si="42"/>
        <v/>
      </c>
      <c r="N110" s="53" t="str">
        <f t="shared" si="43"/>
        <v/>
      </c>
      <c r="O110" s="54" t="str">
        <f t="shared" si="27"/>
        <v/>
      </c>
      <c r="P110" s="31" t="s">
        <v>123</v>
      </c>
      <c r="Q110" s="31" t="s">
        <v>122</v>
      </c>
    </row>
    <row r="111" spans="3:17" ht="21">
      <c r="C111" s="23">
        <v>322</v>
      </c>
      <c r="D111" s="23" t="s">
        <v>126</v>
      </c>
      <c r="E111" s="61" t="s">
        <v>12</v>
      </c>
      <c r="F111" s="61" t="s">
        <v>108</v>
      </c>
      <c r="G111" s="61">
        <v>3</v>
      </c>
      <c r="H111" s="61" t="s">
        <v>16</v>
      </c>
      <c r="I111" s="61"/>
      <c r="J111" s="61"/>
      <c r="K111" s="64"/>
      <c r="L111" s="64"/>
      <c r="M111" s="64"/>
      <c r="N111" s="64"/>
      <c r="O111" s="64"/>
      <c r="P111" s="61"/>
      <c r="Q111" s="61"/>
    </row>
    <row r="112" spans="3:17" ht="21">
      <c r="C112" s="31">
        <v>322000</v>
      </c>
      <c r="D112" s="31" t="s">
        <v>127</v>
      </c>
      <c r="E112" s="36" t="s">
        <v>12</v>
      </c>
      <c r="F112" s="36" t="s">
        <v>108</v>
      </c>
      <c r="G112" s="36">
        <v>4</v>
      </c>
      <c r="H112" s="36" t="s">
        <v>20</v>
      </c>
      <c r="I112" s="65"/>
      <c r="J112" s="65"/>
      <c r="K112" s="53">
        <f>SUMIF('قيود اليوميه'!G:G,'ميزان المراجعه'!C112,'قيود اليوميه'!D:D)</f>
        <v>0</v>
      </c>
      <c r="L112" s="53">
        <f>SUMIF('قيود اليوميه'!G:G,'ميزان المراجعه'!C112,'قيود اليوميه'!E:E)</f>
        <v>0</v>
      </c>
      <c r="M112" s="53" t="str">
        <f>IF(I112-J112+K112-L112&gt;0,I112-J112+K112-L112,"")</f>
        <v/>
      </c>
      <c r="N112" s="53" t="str">
        <f>IF(J112-I112+L112-K112&gt;0,J112-I112+L112-K112,"")</f>
        <v/>
      </c>
      <c r="O112" s="54" t="str">
        <f t="shared" si="27"/>
        <v/>
      </c>
      <c r="P112" s="31" t="s">
        <v>126</v>
      </c>
      <c r="Q112" s="31" t="s">
        <v>122</v>
      </c>
    </row>
    <row r="113" spans="3:17" ht="21">
      <c r="C113" s="23">
        <v>323</v>
      </c>
      <c r="D113" s="23" t="s">
        <v>128</v>
      </c>
      <c r="E113" s="61" t="s">
        <v>12</v>
      </c>
      <c r="F113" s="61" t="s">
        <v>108</v>
      </c>
      <c r="G113" s="61">
        <v>3</v>
      </c>
      <c r="H113" s="61" t="s">
        <v>16</v>
      </c>
      <c r="I113" s="61"/>
      <c r="J113" s="61"/>
      <c r="K113" s="64"/>
      <c r="L113" s="64"/>
      <c r="M113" s="64"/>
      <c r="N113" s="64"/>
      <c r="O113" s="64"/>
      <c r="P113" s="61"/>
      <c r="Q113" s="61"/>
    </row>
    <row r="114" spans="3:17" ht="21">
      <c r="C114" s="31">
        <v>323000</v>
      </c>
      <c r="D114" s="31" t="s">
        <v>129</v>
      </c>
      <c r="E114" s="36" t="s">
        <v>12</v>
      </c>
      <c r="F114" s="36" t="s">
        <v>108</v>
      </c>
      <c r="G114" s="36">
        <v>4</v>
      </c>
      <c r="H114" s="36" t="s">
        <v>20</v>
      </c>
      <c r="I114" s="65"/>
      <c r="J114" s="65"/>
      <c r="K114" s="53">
        <f>SUMIF('قيود اليوميه'!G:G,'ميزان المراجعه'!C114,'قيود اليوميه'!D:D)</f>
        <v>0</v>
      </c>
      <c r="L114" s="53">
        <f>SUMIF('قيود اليوميه'!G:G,'ميزان المراجعه'!C114,'قيود اليوميه'!E:E)</f>
        <v>0</v>
      </c>
      <c r="M114" s="53" t="str">
        <f t="shared" ref="M114:M115" si="44">IF(I114-J114+K114-L114&gt;0,I114-J114+K114-L114,"")</f>
        <v/>
      </c>
      <c r="N114" s="53" t="str">
        <f t="shared" ref="N114:N115" si="45">IF(J114-I114+L114-K114&gt;0,J114-I114+L114-K114,"")</f>
        <v/>
      </c>
      <c r="O114" s="54" t="str">
        <f t="shared" si="27"/>
        <v/>
      </c>
      <c r="P114" s="31" t="s">
        <v>128</v>
      </c>
      <c r="Q114" s="31" t="s">
        <v>122</v>
      </c>
    </row>
    <row r="115" spans="3:17" ht="21">
      <c r="C115" s="31">
        <v>323001</v>
      </c>
      <c r="D115" s="31" t="s">
        <v>130</v>
      </c>
      <c r="E115" s="36" t="s">
        <v>12</v>
      </c>
      <c r="F115" s="36" t="s">
        <v>108</v>
      </c>
      <c r="G115" s="36">
        <v>4</v>
      </c>
      <c r="H115" s="36" t="s">
        <v>20</v>
      </c>
      <c r="I115" s="65"/>
      <c r="J115" s="65"/>
      <c r="K115" s="53">
        <f>SUMIF('قيود اليوميه'!G:G,'ميزان المراجعه'!C115,'قيود اليوميه'!D:D)</f>
        <v>0</v>
      </c>
      <c r="L115" s="53">
        <f>SUMIF('قيود اليوميه'!G:G,'ميزان المراجعه'!C115,'قيود اليوميه'!E:E)</f>
        <v>0</v>
      </c>
      <c r="M115" s="53" t="str">
        <f t="shared" si="44"/>
        <v/>
      </c>
      <c r="N115" s="53" t="str">
        <f t="shared" si="45"/>
        <v/>
      </c>
      <c r="O115" s="54" t="str">
        <f t="shared" si="27"/>
        <v/>
      </c>
      <c r="P115" s="31" t="s">
        <v>128</v>
      </c>
      <c r="Q115" s="31" t="s">
        <v>122</v>
      </c>
    </row>
    <row r="116" spans="3:17" ht="21">
      <c r="C116" s="23">
        <v>324</v>
      </c>
      <c r="D116" s="23" t="s">
        <v>131</v>
      </c>
      <c r="E116" s="61" t="s">
        <v>12</v>
      </c>
      <c r="F116" s="61" t="s">
        <v>108</v>
      </c>
      <c r="G116" s="61">
        <v>3</v>
      </c>
      <c r="H116" s="61" t="s">
        <v>16</v>
      </c>
      <c r="I116" s="61"/>
      <c r="J116" s="61"/>
      <c r="K116" s="64"/>
      <c r="L116" s="64"/>
      <c r="M116" s="64"/>
      <c r="N116" s="64"/>
      <c r="O116" s="64"/>
      <c r="P116" s="61"/>
      <c r="Q116" s="61"/>
    </row>
    <row r="117" spans="3:17" ht="21">
      <c r="C117" s="31">
        <v>324000</v>
      </c>
      <c r="D117" s="31" t="s">
        <v>132</v>
      </c>
      <c r="E117" s="36" t="s">
        <v>12</v>
      </c>
      <c r="F117" s="36" t="s">
        <v>108</v>
      </c>
      <c r="G117" s="36">
        <v>4</v>
      </c>
      <c r="H117" s="36" t="s">
        <v>20</v>
      </c>
      <c r="I117" s="65"/>
      <c r="J117" s="65"/>
      <c r="K117" s="53">
        <f>SUMIF('قيود اليوميه'!G:G,'ميزان المراجعه'!C117,'قيود اليوميه'!D:D)</f>
        <v>0</v>
      </c>
      <c r="L117" s="53">
        <f>SUMIF('قيود اليوميه'!G:G,'ميزان المراجعه'!C117,'قيود اليوميه'!E:E)</f>
        <v>0</v>
      </c>
      <c r="M117" s="53" t="str">
        <f t="shared" ref="M117:M118" si="46">IF(I117-J117+K117-L117&gt;0,I117-J117+K117-L117,"")</f>
        <v/>
      </c>
      <c r="N117" s="53" t="str">
        <f t="shared" ref="N117:N118" si="47">IF(J117-I117+L117-K117&gt;0,J117-I117+L117-K117,"")</f>
        <v/>
      </c>
      <c r="O117" s="54" t="str">
        <f t="shared" si="27"/>
        <v/>
      </c>
      <c r="P117" s="31" t="s">
        <v>131</v>
      </c>
      <c r="Q117" s="31" t="s">
        <v>122</v>
      </c>
    </row>
    <row r="118" spans="3:17" ht="21">
      <c r="C118" s="31">
        <v>324001</v>
      </c>
      <c r="D118" s="31" t="s">
        <v>133</v>
      </c>
      <c r="E118" s="36" t="s">
        <v>12</v>
      </c>
      <c r="F118" s="36" t="s">
        <v>108</v>
      </c>
      <c r="G118" s="36">
        <v>4</v>
      </c>
      <c r="H118" s="36" t="s">
        <v>20</v>
      </c>
      <c r="I118" s="65"/>
      <c r="J118" s="65"/>
      <c r="K118" s="53">
        <f>SUMIF('قيود اليوميه'!G:G,'ميزان المراجعه'!C118,'قيود اليوميه'!D:D)</f>
        <v>0</v>
      </c>
      <c r="L118" s="53">
        <f>SUMIF('قيود اليوميه'!G:G,'ميزان المراجعه'!C118,'قيود اليوميه'!E:E)</f>
        <v>0</v>
      </c>
      <c r="M118" s="53" t="str">
        <f t="shared" si="46"/>
        <v/>
      </c>
      <c r="N118" s="53" t="str">
        <f t="shared" si="47"/>
        <v/>
      </c>
      <c r="O118" s="54" t="str">
        <f t="shared" si="27"/>
        <v/>
      </c>
      <c r="P118" s="31" t="s">
        <v>131</v>
      </c>
      <c r="Q118" s="31" t="s">
        <v>122</v>
      </c>
    </row>
    <row r="119" spans="3:17" ht="21">
      <c r="C119" s="7">
        <v>4</v>
      </c>
      <c r="D119" s="7" t="s">
        <v>134</v>
      </c>
      <c r="E119" s="59" t="s">
        <v>11</v>
      </c>
      <c r="F119" s="59" t="s">
        <v>108</v>
      </c>
      <c r="G119" s="59">
        <v>1</v>
      </c>
      <c r="H119" s="59" t="s">
        <v>16</v>
      </c>
      <c r="I119" s="59"/>
      <c r="J119" s="59"/>
      <c r="K119" s="62"/>
      <c r="L119" s="62"/>
      <c r="M119" s="62"/>
      <c r="N119" s="62"/>
      <c r="O119" s="62"/>
      <c r="P119" s="59"/>
      <c r="Q119" s="59"/>
    </row>
    <row r="120" spans="3:17" ht="21">
      <c r="C120" s="43">
        <v>41</v>
      </c>
      <c r="D120" s="43" t="s">
        <v>135</v>
      </c>
      <c r="E120" s="60" t="s">
        <v>11</v>
      </c>
      <c r="F120" s="60" t="s">
        <v>108</v>
      </c>
      <c r="G120" s="60">
        <v>2</v>
      </c>
      <c r="H120" s="60" t="s">
        <v>16</v>
      </c>
      <c r="I120" s="60"/>
      <c r="J120" s="60"/>
      <c r="K120" s="63"/>
      <c r="L120" s="63"/>
      <c r="M120" s="63"/>
      <c r="N120" s="63"/>
      <c r="O120" s="63"/>
      <c r="P120" s="60"/>
      <c r="Q120" s="60"/>
    </row>
    <row r="121" spans="3:17" ht="21">
      <c r="C121" s="23">
        <v>411</v>
      </c>
      <c r="D121" s="23" t="s">
        <v>136</v>
      </c>
      <c r="E121" s="61" t="s">
        <v>11</v>
      </c>
      <c r="F121" s="61" t="s">
        <v>108</v>
      </c>
      <c r="G121" s="61">
        <v>3</v>
      </c>
      <c r="H121" s="61" t="s">
        <v>16</v>
      </c>
      <c r="I121" s="61"/>
      <c r="J121" s="61"/>
      <c r="K121" s="64"/>
      <c r="L121" s="64"/>
      <c r="M121" s="64"/>
      <c r="N121" s="64"/>
      <c r="O121" s="64"/>
      <c r="P121" s="61"/>
      <c r="Q121" s="61"/>
    </row>
    <row r="122" spans="3:17" ht="21">
      <c r="C122" s="31">
        <v>411000</v>
      </c>
      <c r="D122" s="31" t="s">
        <v>137</v>
      </c>
      <c r="E122" s="36" t="s">
        <v>11</v>
      </c>
      <c r="F122" s="36" t="s">
        <v>108</v>
      </c>
      <c r="G122" s="36">
        <v>4</v>
      </c>
      <c r="H122" s="36" t="s">
        <v>20</v>
      </c>
      <c r="I122" s="65"/>
      <c r="J122" s="65"/>
      <c r="K122" s="53">
        <f>SUMIF('قيود اليوميه'!G:G,'ميزان المراجعه'!C122,'قيود اليوميه'!D:D)</f>
        <v>150000</v>
      </c>
      <c r="L122" s="53">
        <f>SUMIF('قيود اليوميه'!G:G,'ميزان المراجعه'!C122,'قيود اليوميه'!E:E)</f>
        <v>0</v>
      </c>
      <c r="M122" s="53">
        <f t="shared" ref="M122:M126" si="48">IF(I122-J122+K122-L122&gt;0,I122-J122+K122-L122,"")</f>
        <v>150000</v>
      </c>
      <c r="N122" s="53" t="str">
        <f t="shared" ref="N122:N126" si="49">IF(J122-I122+L122-K122&gt;0,J122-I122+L122-K122,"")</f>
        <v/>
      </c>
      <c r="O122" s="54">
        <f t="shared" si="27"/>
        <v>-150000</v>
      </c>
      <c r="P122" s="31" t="s">
        <v>136</v>
      </c>
      <c r="Q122" s="31" t="s">
        <v>135</v>
      </c>
    </row>
    <row r="123" spans="3:17" ht="21">
      <c r="C123" s="31">
        <v>411001</v>
      </c>
      <c r="D123" s="31" t="s">
        <v>138</v>
      </c>
      <c r="E123" s="36" t="s">
        <v>11</v>
      </c>
      <c r="F123" s="36" t="s">
        <v>108</v>
      </c>
      <c r="G123" s="36">
        <v>4</v>
      </c>
      <c r="H123" s="36" t="s">
        <v>20</v>
      </c>
      <c r="I123" s="65"/>
      <c r="J123" s="65"/>
      <c r="K123" s="53">
        <f>SUMIF('قيود اليوميه'!G:G,'ميزان المراجعه'!C123,'قيود اليوميه'!D:D)</f>
        <v>0</v>
      </c>
      <c r="L123" s="53">
        <f>SUMIF('قيود اليوميه'!G:G,'ميزان المراجعه'!C123,'قيود اليوميه'!E:E)</f>
        <v>0</v>
      </c>
      <c r="M123" s="53" t="str">
        <f t="shared" si="48"/>
        <v/>
      </c>
      <c r="N123" s="53" t="str">
        <f t="shared" si="49"/>
        <v/>
      </c>
      <c r="O123" s="54" t="str">
        <f t="shared" si="27"/>
        <v/>
      </c>
      <c r="P123" s="31" t="s">
        <v>136</v>
      </c>
      <c r="Q123" s="31" t="s">
        <v>135</v>
      </c>
    </row>
    <row r="124" spans="3:17" ht="21">
      <c r="C124" s="31">
        <v>411002</v>
      </c>
      <c r="D124" s="31" t="s">
        <v>139</v>
      </c>
      <c r="E124" s="36" t="s">
        <v>12</v>
      </c>
      <c r="F124" s="36" t="s">
        <v>108</v>
      </c>
      <c r="G124" s="36">
        <v>4</v>
      </c>
      <c r="H124" s="36" t="s">
        <v>20</v>
      </c>
      <c r="I124" s="65"/>
      <c r="J124" s="65"/>
      <c r="K124" s="53">
        <f>SUMIF('قيود اليوميه'!G:G,'ميزان المراجعه'!C124,'قيود اليوميه'!D:D)</f>
        <v>0</v>
      </c>
      <c r="L124" s="53">
        <f>SUMIF('قيود اليوميه'!G:G,'ميزان المراجعه'!C124,'قيود اليوميه'!E:E)</f>
        <v>0</v>
      </c>
      <c r="M124" s="53" t="str">
        <f t="shared" si="48"/>
        <v/>
      </c>
      <c r="N124" s="53" t="str">
        <f t="shared" si="49"/>
        <v/>
      </c>
      <c r="O124" s="54" t="str">
        <f t="shared" si="27"/>
        <v/>
      </c>
      <c r="P124" s="31" t="s">
        <v>136</v>
      </c>
      <c r="Q124" s="31" t="s">
        <v>135</v>
      </c>
    </row>
    <row r="125" spans="3:17" ht="21">
      <c r="C125" s="31">
        <v>411003</v>
      </c>
      <c r="D125" s="31" t="s">
        <v>140</v>
      </c>
      <c r="E125" s="36" t="s">
        <v>12</v>
      </c>
      <c r="F125" s="36" t="s">
        <v>108</v>
      </c>
      <c r="G125" s="36">
        <v>4</v>
      </c>
      <c r="H125" s="36" t="s">
        <v>20</v>
      </c>
      <c r="I125" s="65"/>
      <c r="J125" s="65"/>
      <c r="K125" s="53">
        <f>SUMIF('قيود اليوميه'!G:G,'ميزان المراجعه'!C125,'قيود اليوميه'!D:D)</f>
        <v>0</v>
      </c>
      <c r="L125" s="53">
        <f>SUMIF('قيود اليوميه'!G:G,'ميزان المراجعه'!C125,'قيود اليوميه'!E:E)</f>
        <v>0</v>
      </c>
      <c r="M125" s="53" t="str">
        <f t="shared" si="48"/>
        <v/>
      </c>
      <c r="N125" s="53" t="str">
        <f t="shared" si="49"/>
        <v/>
      </c>
      <c r="O125" s="54" t="str">
        <f t="shared" si="27"/>
        <v/>
      </c>
      <c r="P125" s="31" t="s">
        <v>136</v>
      </c>
      <c r="Q125" s="31" t="s">
        <v>135</v>
      </c>
    </row>
    <row r="126" spans="3:17" ht="21">
      <c r="C126" s="31">
        <v>411004</v>
      </c>
      <c r="D126" s="31" t="s">
        <v>299</v>
      </c>
      <c r="E126" s="36" t="s">
        <v>12</v>
      </c>
      <c r="F126" s="36" t="s">
        <v>108</v>
      </c>
      <c r="G126" s="36">
        <v>4</v>
      </c>
      <c r="H126" s="36" t="s">
        <v>20</v>
      </c>
      <c r="I126" s="65"/>
      <c r="J126" s="65"/>
      <c r="K126" s="53">
        <f>SUMIF('قيود اليوميه'!G:G,'ميزان المراجعه'!C126,'قيود اليوميه'!D:D)</f>
        <v>0</v>
      </c>
      <c r="L126" s="53">
        <f>SUMIF('قيود اليوميه'!G:G,'ميزان المراجعه'!C126,'قيود اليوميه'!E:E)</f>
        <v>0</v>
      </c>
      <c r="M126" s="53" t="str">
        <f t="shared" si="48"/>
        <v/>
      </c>
      <c r="N126" s="53" t="str">
        <f t="shared" si="49"/>
        <v/>
      </c>
      <c r="O126" s="54" t="str">
        <f t="shared" si="27"/>
        <v/>
      </c>
      <c r="P126" s="31" t="s">
        <v>136</v>
      </c>
      <c r="Q126" s="31" t="s">
        <v>135</v>
      </c>
    </row>
    <row r="127" spans="3:17" ht="21">
      <c r="C127" s="23">
        <v>412</v>
      </c>
      <c r="D127" s="23" t="s">
        <v>141</v>
      </c>
      <c r="E127" s="61" t="s">
        <v>11</v>
      </c>
      <c r="F127" s="61" t="s">
        <v>108</v>
      </c>
      <c r="G127" s="61">
        <v>3</v>
      </c>
      <c r="H127" s="61" t="s">
        <v>16</v>
      </c>
      <c r="I127" s="61"/>
      <c r="J127" s="61"/>
      <c r="K127" s="64"/>
      <c r="L127" s="64"/>
      <c r="M127" s="64"/>
      <c r="N127" s="64"/>
      <c r="O127" s="64"/>
      <c r="P127" s="61"/>
      <c r="Q127" s="61"/>
    </row>
    <row r="128" spans="3:17" ht="21">
      <c r="C128" s="31">
        <v>412000</v>
      </c>
      <c r="D128" s="31" t="s">
        <v>142</v>
      </c>
      <c r="E128" s="36" t="s">
        <v>11</v>
      </c>
      <c r="F128" s="36" t="s">
        <v>108</v>
      </c>
      <c r="G128" s="36">
        <v>4</v>
      </c>
      <c r="H128" s="36" t="s">
        <v>20</v>
      </c>
      <c r="I128" s="65"/>
      <c r="J128" s="65"/>
      <c r="K128" s="53">
        <f>SUMIF('قيود اليوميه'!G:G,'ميزان المراجعه'!C128,'قيود اليوميه'!D:D)</f>
        <v>0</v>
      </c>
      <c r="L128" s="53">
        <f>SUMIF('قيود اليوميه'!G:G,'ميزان المراجعه'!C128,'قيود اليوميه'!E:E)</f>
        <v>0</v>
      </c>
      <c r="M128" s="53" t="str">
        <f t="shared" ref="M128:M130" si="50">IF(I128-J128+K128-L128&gt;0,I128-J128+K128-L128,"")</f>
        <v/>
      </c>
      <c r="N128" s="53" t="str">
        <f t="shared" ref="N128:N130" si="51">IF(J128-I128+L128-K128&gt;0,J128-I128+L128-K128,"")</f>
        <v/>
      </c>
      <c r="O128" s="54" t="str">
        <f t="shared" si="27"/>
        <v/>
      </c>
      <c r="P128" s="36" t="s">
        <v>141</v>
      </c>
      <c r="Q128" s="31" t="s">
        <v>135</v>
      </c>
    </row>
    <row r="129" spans="3:17" ht="21">
      <c r="C129" s="31">
        <v>412001</v>
      </c>
      <c r="D129" s="31" t="s">
        <v>143</v>
      </c>
      <c r="E129" s="36" t="s">
        <v>11</v>
      </c>
      <c r="F129" s="36" t="s">
        <v>108</v>
      </c>
      <c r="G129" s="36">
        <v>4</v>
      </c>
      <c r="H129" s="36" t="s">
        <v>20</v>
      </c>
      <c r="I129" s="65"/>
      <c r="J129" s="65"/>
      <c r="K129" s="53">
        <f>SUMIF('قيود اليوميه'!G:G,'ميزان المراجعه'!C129,'قيود اليوميه'!D:D)</f>
        <v>0</v>
      </c>
      <c r="L129" s="53">
        <f>SUMIF('قيود اليوميه'!G:G,'ميزان المراجعه'!C129,'قيود اليوميه'!E:E)</f>
        <v>0</v>
      </c>
      <c r="M129" s="53" t="str">
        <f t="shared" si="50"/>
        <v/>
      </c>
      <c r="N129" s="53" t="str">
        <f t="shared" si="51"/>
        <v/>
      </c>
      <c r="O129" s="54" t="str">
        <f t="shared" si="27"/>
        <v/>
      </c>
      <c r="P129" s="36" t="s">
        <v>141</v>
      </c>
      <c r="Q129" s="31" t="s">
        <v>135</v>
      </c>
    </row>
    <row r="130" spans="3:17" ht="21">
      <c r="C130" s="31">
        <v>412002</v>
      </c>
      <c r="D130" s="31" t="s">
        <v>144</v>
      </c>
      <c r="E130" s="36" t="s">
        <v>11</v>
      </c>
      <c r="F130" s="36" t="s">
        <v>108</v>
      </c>
      <c r="G130" s="36">
        <v>4</v>
      </c>
      <c r="H130" s="36" t="s">
        <v>20</v>
      </c>
      <c r="I130" s="65"/>
      <c r="J130" s="65"/>
      <c r="K130" s="53">
        <f>SUMIF('قيود اليوميه'!G:G,'ميزان المراجعه'!C130,'قيود اليوميه'!D:D)</f>
        <v>0</v>
      </c>
      <c r="L130" s="53">
        <f>SUMIF('قيود اليوميه'!G:G,'ميزان المراجعه'!C130,'قيود اليوميه'!E:E)</f>
        <v>0</v>
      </c>
      <c r="M130" s="53" t="str">
        <f t="shared" si="50"/>
        <v/>
      </c>
      <c r="N130" s="53" t="str">
        <f t="shared" si="51"/>
        <v/>
      </c>
      <c r="O130" s="54" t="str">
        <f t="shared" si="27"/>
        <v/>
      </c>
      <c r="P130" s="36" t="s">
        <v>141</v>
      </c>
      <c r="Q130" s="31" t="s">
        <v>135</v>
      </c>
    </row>
    <row r="131" spans="3:17" ht="21">
      <c r="C131" s="23">
        <v>413</v>
      </c>
      <c r="D131" s="23" t="s">
        <v>145</v>
      </c>
      <c r="E131" s="61" t="s">
        <v>11</v>
      </c>
      <c r="F131" s="61" t="s">
        <v>108</v>
      </c>
      <c r="G131" s="61">
        <v>3</v>
      </c>
      <c r="H131" s="61" t="s">
        <v>16</v>
      </c>
      <c r="I131" s="61"/>
      <c r="J131" s="61"/>
      <c r="K131" s="64"/>
      <c r="L131" s="64"/>
      <c r="M131" s="64"/>
      <c r="N131" s="64"/>
      <c r="O131" s="64"/>
      <c r="P131" s="61"/>
      <c r="Q131" s="61"/>
    </row>
    <row r="132" spans="3:17" ht="21">
      <c r="C132" s="31">
        <v>413000</v>
      </c>
      <c r="D132" s="31" t="s">
        <v>146</v>
      </c>
      <c r="E132" s="36" t="s">
        <v>11</v>
      </c>
      <c r="F132" s="36" t="s">
        <v>108</v>
      </c>
      <c r="G132" s="36">
        <v>4</v>
      </c>
      <c r="H132" s="36" t="s">
        <v>20</v>
      </c>
      <c r="I132" s="65"/>
      <c r="J132" s="65"/>
      <c r="K132" s="53">
        <f>SUMIF('قيود اليوميه'!G:G,'ميزان المراجعه'!C132,'قيود اليوميه'!D:D)</f>
        <v>0</v>
      </c>
      <c r="L132" s="53">
        <f>SUMIF('قيود اليوميه'!G:G,'ميزان المراجعه'!C132,'قيود اليوميه'!E:E)</f>
        <v>0</v>
      </c>
      <c r="M132" s="53" t="str">
        <f t="shared" ref="M132:M133" si="52">IF(I132-J132+K132-L132&gt;0,I132-J132+K132-L132,"")</f>
        <v/>
      </c>
      <c r="N132" s="53" t="str">
        <f t="shared" ref="N132:N133" si="53">IF(J132-I132+L132-K132&gt;0,J132-I132+L132-K132,"")</f>
        <v/>
      </c>
      <c r="O132" s="54" t="str">
        <f t="shared" si="27"/>
        <v/>
      </c>
      <c r="P132" s="31" t="s">
        <v>145</v>
      </c>
      <c r="Q132" s="31" t="s">
        <v>135</v>
      </c>
    </row>
    <row r="133" spans="3:17" ht="21">
      <c r="C133" s="31">
        <v>413001</v>
      </c>
      <c r="D133" s="31" t="s">
        <v>147</v>
      </c>
      <c r="E133" s="36" t="s">
        <v>11</v>
      </c>
      <c r="F133" s="36" t="s">
        <v>108</v>
      </c>
      <c r="G133" s="36">
        <v>4</v>
      </c>
      <c r="H133" s="36" t="s">
        <v>20</v>
      </c>
      <c r="I133" s="65"/>
      <c r="J133" s="65"/>
      <c r="K133" s="53">
        <f>SUMIF('قيود اليوميه'!G:G,'ميزان المراجعه'!C133,'قيود اليوميه'!D:D)</f>
        <v>0</v>
      </c>
      <c r="L133" s="53">
        <f>SUMIF('قيود اليوميه'!G:G,'ميزان المراجعه'!C133,'قيود اليوميه'!E:E)</f>
        <v>0</v>
      </c>
      <c r="M133" s="53" t="str">
        <f t="shared" si="52"/>
        <v/>
      </c>
      <c r="N133" s="53" t="str">
        <f t="shared" si="53"/>
        <v/>
      </c>
      <c r="O133" s="54" t="str">
        <f t="shared" si="27"/>
        <v/>
      </c>
      <c r="P133" s="31" t="s">
        <v>145</v>
      </c>
      <c r="Q133" s="31" t="s">
        <v>135</v>
      </c>
    </row>
    <row r="134" spans="3:17" ht="21">
      <c r="C134" s="43">
        <v>42</v>
      </c>
      <c r="D134" s="43" t="s">
        <v>148</v>
      </c>
      <c r="E134" s="60" t="s">
        <v>11</v>
      </c>
      <c r="F134" s="60" t="s">
        <v>108</v>
      </c>
      <c r="G134" s="60">
        <v>2</v>
      </c>
      <c r="H134" s="60" t="s">
        <v>16</v>
      </c>
      <c r="I134" s="60"/>
      <c r="J134" s="60"/>
      <c r="K134" s="63"/>
      <c r="L134" s="63"/>
      <c r="M134" s="63"/>
      <c r="N134" s="63"/>
      <c r="O134" s="63"/>
      <c r="P134" s="60"/>
      <c r="Q134" s="60"/>
    </row>
    <row r="135" spans="3:17" ht="21">
      <c r="C135" s="23">
        <v>421</v>
      </c>
      <c r="D135" s="23" t="s">
        <v>149</v>
      </c>
      <c r="E135" s="61" t="s">
        <v>11</v>
      </c>
      <c r="F135" s="61" t="s">
        <v>108</v>
      </c>
      <c r="G135" s="61">
        <v>3</v>
      </c>
      <c r="H135" s="61" t="s">
        <v>16</v>
      </c>
      <c r="I135" s="61"/>
      <c r="J135" s="61"/>
      <c r="K135" s="64"/>
      <c r="L135" s="64"/>
      <c r="M135" s="64"/>
      <c r="N135" s="64"/>
      <c r="O135" s="64"/>
      <c r="P135" s="61"/>
      <c r="Q135" s="61"/>
    </row>
    <row r="136" spans="3:17" ht="21">
      <c r="C136" s="31">
        <v>421000</v>
      </c>
      <c r="D136" s="31" t="s">
        <v>150</v>
      </c>
      <c r="E136" s="36" t="s">
        <v>11</v>
      </c>
      <c r="F136" s="36" t="s">
        <v>108</v>
      </c>
      <c r="G136" s="36">
        <v>4</v>
      </c>
      <c r="H136" s="36" t="s">
        <v>20</v>
      </c>
      <c r="I136" s="65"/>
      <c r="J136" s="65"/>
      <c r="K136" s="53">
        <f>SUMIF('قيود اليوميه'!G:G,'ميزان المراجعه'!C136,'قيود اليوميه'!D:D)</f>
        <v>0</v>
      </c>
      <c r="L136" s="53">
        <f>SUMIF('قيود اليوميه'!G:G,'ميزان المراجعه'!C136,'قيود اليوميه'!E:E)</f>
        <v>0</v>
      </c>
      <c r="M136" s="53" t="str">
        <f t="shared" ref="M136:M143" si="54">IF(I136-J136+K136-L136&gt;0,I136-J136+K136-L136,"")</f>
        <v/>
      </c>
      <c r="N136" s="53" t="str">
        <f t="shared" ref="N136:N143" si="55">IF(J136-I136+L136-K136&gt;0,J136-I136+L136-K136,"")</f>
        <v/>
      </c>
      <c r="O136" s="54" t="str">
        <f t="shared" si="27"/>
        <v/>
      </c>
      <c r="P136" s="31" t="s">
        <v>149</v>
      </c>
      <c r="Q136" s="31" t="s">
        <v>148</v>
      </c>
    </row>
    <row r="137" spans="3:17" ht="21">
      <c r="C137" s="31">
        <v>421001</v>
      </c>
      <c r="D137" s="31" t="s">
        <v>120</v>
      </c>
      <c r="E137" s="36" t="s">
        <v>11</v>
      </c>
      <c r="F137" s="36" t="s">
        <v>108</v>
      </c>
      <c r="G137" s="36">
        <v>4</v>
      </c>
      <c r="H137" s="36" t="s">
        <v>20</v>
      </c>
      <c r="I137" s="65"/>
      <c r="J137" s="65"/>
      <c r="K137" s="53">
        <f>SUMIF('قيود اليوميه'!G:G,'ميزان المراجعه'!C137,'قيود اليوميه'!D:D)</f>
        <v>0</v>
      </c>
      <c r="L137" s="53">
        <f>SUMIF('قيود اليوميه'!G:G,'ميزان المراجعه'!C137,'قيود اليوميه'!E:E)</f>
        <v>0</v>
      </c>
      <c r="M137" s="53" t="str">
        <f t="shared" si="54"/>
        <v/>
      </c>
      <c r="N137" s="53" t="str">
        <f t="shared" si="55"/>
        <v/>
      </c>
      <c r="O137" s="54" t="str">
        <f t="shared" si="27"/>
        <v/>
      </c>
      <c r="P137" s="31" t="s">
        <v>149</v>
      </c>
      <c r="Q137" s="31" t="s">
        <v>148</v>
      </c>
    </row>
    <row r="138" spans="3:17" ht="21">
      <c r="C138" s="31">
        <v>421002</v>
      </c>
      <c r="D138" s="31" t="s">
        <v>151</v>
      </c>
      <c r="E138" s="36" t="s">
        <v>11</v>
      </c>
      <c r="F138" s="36" t="s">
        <v>108</v>
      </c>
      <c r="G138" s="36">
        <v>4</v>
      </c>
      <c r="H138" s="36" t="s">
        <v>20</v>
      </c>
      <c r="I138" s="65"/>
      <c r="J138" s="65"/>
      <c r="K138" s="53">
        <f>SUMIF('قيود اليوميه'!G:G,'ميزان المراجعه'!C138,'قيود اليوميه'!D:D)</f>
        <v>0</v>
      </c>
      <c r="L138" s="53">
        <f>SUMIF('قيود اليوميه'!G:G,'ميزان المراجعه'!C138,'قيود اليوميه'!E:E)</f>
        <v>0</v>
      </c>
      <c r="M138" s="53" t="str">
        <f t="shared" si="54"/>
        <v/>
      </c>
      <c r="N138" s="53" t="str">
        <f t="shared" si="55"/>
        <v/>
      </c>
      <c r="O138" s="54" t="str">
        <f t="shared" ref="O138:O165" si="56">IFERROR(IF(N138&lt;&gt;"",N138,M138*-1),"")</f>
        <v/>
      </c>
      <c r="P138" s="31" t="s">
        <v>149</v>
      </c>
      <c r="Q138" s="31" t="s">
        <v>148</v>
      </c>
    </row>
    <row r="139" spans="3:17" ht="21">
      <c r="C139" s="31">
        <v>421003</v>
      </c>
      <c r="D139" s="31" t="s">
        <v>152</v>
      </c>
      <c r="E139" s="36" t="s">
        <v>11</v>
      </c>
      <c r="F139" s="36" t="s">
        <v>108</v>
      </c>
      <c r="G139" s="36">
        <v>4</v>
      </c>
      <c r="H139" s="36" t="s">
        <v>20</v>
      </c>
      <c r="I139" s="65"/>
      <c r="J139" s="65"/>
      <c r="K139" s="53">
        <f>SUMIF('قيود اليوميه'!G:G,'ميزان المراجعه'!C139,'قيود اليوميه'!D:D)</f>
        <v>0</v>
      </c>
      <c r="L139" s="53">
        <f>SUMIF('قيود اليوميه'!G:G,'ميزان المراجعه'!C139,'قيود اليوميه'!E:E)</f>
        <v>0</v>
      </c>
      <c r="M139" s="53" t="str">
        <f t="shared" si="54"/>
        <v/>
      </c>
      <c r="N139" s="53" t="str">
        <f t="shared" si="55"/>
        <v/>
      </c>
      <c r="O139" s="54" t="str">
        <f t="shared" si="56"/>
        <v/>
      </c>
      <c r="P139" s="31" t="s">
        <v>149</v>
      </c>
      <c r="Q139" s="31" t="s">
        <v>148</v>
      </c>
    </row>
    <row r="140" spans="3:17" ht="21">
      <c r="C140" s="31">
        <v>421004</v>
      </c>
      <c r="D140" s="31" t="s">
        <v>174</v>
      </c>
      <c r="E140" s="36" t="s">
        <v>11</v>
      </c>
      <c r="F140" s="36" t="s">
        <v>108</v>
      </c>
      <c r="G140" s="36">
        <v>4</v>
      </c>
      <c r="H140" s="36" t="s">
        <v>20</v>
      </c>
      <c r="I140" s="65"/>
      <c r="J140" s="65"/>
      <c r="K140" s="53">
        <f>SUMIF('قيود اليوميه'!G:G,'ميزان المراجعه'!C140,'قيود اليوميه'!D:D)</f>
        <v>0</v>
      </c>
      <c r="L140" s="53">
        <f>SUMIF('قيود اليوميه'!G:G,'ميزان المراجعه'!C140,'قيود اليوميه'!E:E)</f>
        <v>0</v>
      </c>
      <c r="M140" s="53" t="str">
        <f t="shared" si="54"/>
        <v/>
      </c>
      <c r="N140" s="53" t="str">
        <f t="shared" si="55"/>
        <v/>
      </c>
      <c r="O140" s="54" t="str">
        <f t="shared" si="56"/>
        <v/>
      </c>
      <c r="P140" s="31" t="s">
        <v>149</v>
      </c>
      <c r="Q140" s="31" t="s">
        <v>148</v>
      </c>
    </row>
    <row r="141" spans="3:17" ht="21">
      <c r="C141" s="31">
        <v>421005</v>
      </c>
      <c r="D141" s="31" t="s">
        <v>175</v>
      </c>
      <c r="E141" s="36" t="s">
        <v>11</v>
      </c>
      <c r="F141" s="36" t="s">
        <v>108</v>
      </c>
      <c r="G141" s="36">
        <v>4</v>
      </c>
      <c r="H141" s="36" t="s">
        <v>20</v>
      </c>
      <c r="I141" s="65"/>
      <c r="J141" s="65"/>
      <c r="K141" s="53">
        <f>SUMIF('قيود اليوميه'!G:G,'ميزان المراجعه'!C141,'قيود اليوميه'!D:D)</f>
        <v>3750</v>
      </c>
      <c r="L141" s="53">
        <f>SUMIF('قيود اليوميه'!G:G,'ميزان المراجعه'!C141,'قيود اليوميه'!E:E)</f>
        <v>0</v>
      </c>
      <c r="M141" s="53">
        <f t="shared" si="54"/>
        <v>3750</v>
      </c>
      <c r="N141" s="53" t="str">
        <f t="shared" si="55"/>
        <v/>
      </c>
      <c r="O141" s="54">
        <f t="shared" si="56"/>
        <v>-3750</v>
      </c>
      <c r="P141" s="31" t="s">
        <v>149</v>
      </c>
      <c r="Q141" s="31" t="s">
        <v>148</v>
      </c>
    </row>
    <row r="142" spans="3:17" ht="21">
      <c r="C142" s="31">
        <v>421006</v>
      </c>
      <c r="D142" s="31" t="s">
        <v>176</v>
      </c>
      <c r="E142" s="36" t="s">
        <v>11</v>
      </c>
      <c r="F142" s="36" t="s">
        <v>108</v>
      </c>
      <c r="G142" s="36">
        <v>4</v>
      </c>
      <c r="H142" s="36" t="s">
        <v>20</v>
      </c>
      <c r="I142" s="65"/>
      <c r="J142" s="65"/>
      <c r="K142" s="53">
        <f>SUMIF('قيود اليوميه'!G:G,'ميزان المراجعه'!C142,'قيود اليوميه'!D:D)</f>
        <v>10000</v>
      </c>
      <c r="L142" s="53">
        <f>SUMIF('قيود اليوميه'!G:G,'ميزان المراجعه'!C142,'قيود اليوميه'!E:E)</f>
        <v>0</v>
      </c>
      <c r="M142" s="53">
        <f t="shared" si="54"/>
        <v>10000</v>
      </c>
      <c r="N142" s="53" t="str">
        <f t="shared" si="55"/>
        <v/>
      </c>
      <c r="O142" s="54">
        <f t="shared" si="56"/>
        <v>-10000</v>
      </c>
      <c r="P142" s="31" t="s">
        <v>149</v>
      </c>
      <c r="Q142" s="31" t="s">
        <v>148</v>
      </c>
    </row>
    <row r="143" spans="3:17" ht="21">
      <c r="C143" s="31">
        <v>421007</v>
      </c>
      <c r="D143" s="31" t="s">
        <v>177</v>
      </c>
      <c r="E143" s="36" t="s">
        <v>11</v>
      </c>
      <c r="F143" s="36" t="s">
        <v>108</v>
      </c>
      <c r="G143" s="36">
        <v>4</v>
      </c>
      <c r="H143" s="36" t="s">
        <v>20</v>
      </c>
      <c r="I143" s="65"/>
      <c r="J143" s="65"/>
      <c r="K143" s="53">
        <f>SUMIF('قيود اليوميه'!G:G,'ميزان المراجعه'!C143,'قيود اليوميه'!D:D)</f>
        <v>2500</v>
      </c>
      <c r="L143" s="53">
        <f>SUMIF('قيود اليوميه'!G:G,'ميزان المراجعه'!C143,'قيود اليوميه'!E:E)</f>
        <v>0</v>
      </c>
      <c r="M143" s="53">
        <f t="shared" si="54"/>
        <v>2500</v>
      </c>
      <c r="N143" s="53" t="str">
        <f t="shared" si="55"/>
        <v/>
      </c>
      <c r="O143" s="54">
        <f t="shared" si="56"/>
        <v>-2500</v>
      </c>
      <c r="P143" s="31" t="s">
        <v>149</v>
      </c>
      <c r="Q143" s="31" t="s">
        <v>148</v>
      </c>
    </row>
    <row r="144" spans="3:17" ht="21">
      <c r="C144" s="23">
        <v>422</v>
      </c>
      <c r="D144" s="23" t="s">
        <v>153</v>
      </c>
      <c r="E144" s="61" t="s">
        <v>11</v>
      </c>
      <c r="F144" s="61" t="s">
        <v>108</v>
      </c>
      <c r="G144" s="61">
        <v>3</v>
      </c>
      <c r="H144" s="61" t="s">
        <v>16</v>
      </c>
      <c r="I144" s="61"/>
      <c r="J144" s="61"/>
      <c r="K144" s="64"/>
      <c r="L144" s="64"/>
      <c r="M144" s="64"/>
      <c r="N144" s="64"/>
      <c r="O144" s="64"/>
      <c r="P144" s="23"/>
      <c r="Q144" s="61"/>
    </row>
    <row r="145" spans="3:17" ht="21">
      <c r="C145" s="31">
        <v>422000</v>
      </c>
      <c r="D145" s="31" t="s">
        <v>154</v>
      </c>
      <c r="E145" s="36" t="s">
        <v>11</v>
      </c>
      <c r="F145" s="36" t="s">
        <v>108</v>
      </c>
      <c r="G145" s="36">
        <v>4</v>
      </c>
      <c r="H145" s="36" t="s">
        <v>20</v>
      </c>
      <c r="I145" s="65"/>
      <c r="J145" s="65"/>
      <c r="K145" s="53">
        <f>SUMIF('قيود اليوميه'!G:G,'ميزان المراجعه'!C145,'قيود اليوميه'!D:D)</f>
        <v>20000</v>
      </c>
      <c r="L145" s="53">
        <f>SUMIF('قيود اليوميه'!G:G,'ميزان المراجعه'!C145,'قيود اليوميه'!E:E)</f>
        <v>0</v>
      </c>
      <c r="M145" s="53">
        <f t="shared" ref="M145:M150" si="57">IF(I145-J145+K145-L145&gt;0,I145-J145+K145-L145,"")</f>
        <v>20000</v>
      </c>
      <c r="N145" s="53" t="str">
        <f t="shared" ref="N145:N150" si="58">IF(J145-I145+L145-K145&gt;0,J145-I145+L145-K145,"")</f>
        <v/>
      </c>
      <c r="O145" s="54">
        <f t="shared" si="56"/>
        <v>-20000</v>
      </c>
      <c r="P145" s="31" t="s">
        <v>153</v>
      </c>
      <c r="Q145" s="31" t="s">
        <v>148</v>
      </c>
    </row>
    <row r="146" spans="3:17" ht="21">
      <c r="C146" s="31">
        <v>422001</v>
      </c>
      <c r="D146" s="31" t="s">
        <v>155</v>
      </c>
      <c r="E146" s="36" t="s">
        <v>11</v>
      </c>
      <c r="F146" s="36" t="s">
        <v>108</v>
      </c>
      <c r="G146" s="36">
        <v>4</v>
      </c>
      <c r="H146" s="36" t="s">
        <v>20</v>
      </c>
      <c r="I146" s="65"/>
      <c r="J146" s="65"/>
      <c r="K146" s="53">
        <f>SUMIF('قيود اليوميه'!G:G,'ميزان المراجعه'!C146,'قيود اليوميه'!D:D)</f>
        <v>11250</v>
      </c>
      <c r="L146" s="53">
        <f>SUMIF('قيود اليوميه'!G:G,'ميزان المراجعه'!C146,'قيود اليوميه'!E:E)</f>
        <v>0</v>
      </c>
      <c r="M146" s="53">
        <f t="shared" si="57"/>
        <v>11250</v>
      </c>
      <c r="N146" s="53" t="str">
        <f t="shared" si="58"/>
        <v/>
      </c>
      <c r="O146" s="54">
        <f t="shared" si="56"/>
        <v>-11250</v>
      </c>
      <c r="P146" s="31" t="s">
        <v>153</v>
      </c>
      <c r="Q146" s="31" t="s">
        <v>148</v>
      </c>
    </row>
    <row r="147" spans="3:17" ht="21">
      <c r="C147" s="31">
        <v>422003</v>
      </c>
      <c r="D147" s="31" t="s">
        <v>156</v>
      </c>
      <c r="E147" s="36" t="s">
        <v>11</v>
      </c>
      <c r="F147" s="36" t="s">
        <v>108</v>
      </c>
      <c r="G147" s="36">
        <v>4</v>
      </c>
      <c r="H147" s="36" t="s">
        <v>20</v>
      </c>
      <c r="I147" s="65"/>
      <c r="J147" s="65"/>
      <c r="K147" s="53">
        <f>SUMIF('قيود اليوميه'!G:G,'ميزان المراجعه'!C147,'قيود اليوميه'!D:D)</f>
        <v>0</v>
      </c>
      <c r="L147" s="53">
        <f>SUMIF('قيود اليوميه'!G:G,'ميزان المراجعه'!C147,'قيود اليوميه'!E:E)</f>
        <v>0</v>
      </c>
      <c r="M147" s="53" t="str">
        <f t="shared" si="57"/>
        <v/>
      </c>
      <c r="N147" s="53" t="str">
        <f t="shared" si="58"/>
        <v/>
      </c>
      <c r="O147" s="54" t="str">
        <f t="shared" si="56"/>
        <v/>
      </c>
      <c r="P147" s="31" t="s">
        <v>153</v>
      </c>
      <c r="Q147" s="31" t="s">
        <v>148</v>
      </c>
    </row>
    <row r="148" spans="3:17" ht="21">
      <c r="C148" s="31">
        <v>422004</v>
      </c>
      <c r="D148" s="31" t="s">
        <v>157</v>
      </c>
      <c r="E148" s="36" t="s">
        <v>11</v>
      </c>
      <c r="F148" s="36" t="s">
        <v>108</v>
      </c>
      <c r="G148" s="36">
        <v>4</v>
      </c>
      <c r="H148" s="36" t="s">
        <v>20</v>
      </c>
      <c r="I148" s="65"/>
      <c r="J148" s="65"/>
      <c r="K148" s="53">
        <f>SUMIF('قيود اليوميه'!G:G,'ميزان المراجعه'!C148,'قيود اليوميه'!D:D)</f>
        <v>0</v>
      </c>
      <c r="L148" s="53">
        <f>SUMIF('قيود اليوميه'!G:G,'ميزان المراجعه'!C148,'قيود اليوميه'!E:E)</f>
        <v>0</v>
      </c>
      <c r="M148" s="53" t="str">
        <f t="shared" si="57"/>
        <v/>
      </c>
      <c r="N148" s="53" t="str">
        <f t="shared" si="58"/>
        <v/>
      </c>
      <c r="O148" s="54" t="str">
        <f t="shared" si="56"/>
        <v/>
      </c>
      <c r="P148" s="31" t="s">
        <v>153</v>
      </c>
      <c r="Q148" s="31" t="s">
        <v>148</v>
      </c>
    </row>
    <row r="149" spans="3:17" ht="21">
      <c r="C149" s="31">
        <v>422005</v>
      </c>
      <c r="D149" s="31" t="s">
        <v>158</v>
      </c>
      <c r="E149" s="36" t="s">
        <v>11</v>
      </c>
      <c r="F149" s="36" t="s">
        <v>108</v>
      </c>
      <c r="G149" s="36">
        <v>4</v>
      </c>
      <c r="H149" s="36" t="s">
        <v>20</v>
      </c>
      <c r="I149" s="65"/>
      <c r="J149" s="65"/>
      <c r="K149" s="53">
        <f>SUMIF('قيود اليوميه'!G:G,'ميزان المراجعه'!C149,'قيود اليوميه'!D:D)</f>
        <v>0</v>
      </c>
      <c r="L149" s="53">
        <f>SUMIF('قيود اليوميه'!G:G,'ميزان المراجعه'!C149,'قيود اليوميه'!E:E)</f>
        <v>0</v>
      </c>
      <c r="M149" s="53" t="str">
        <f t="shared" si="57"/>
        <v/>
      </c>
      <c r="N149" s="53" t="str">
        <f t="shared" si="58"/>
        <v/>
      </c>
      <c r="O149" s="54" t="str">
        <f t="shared" si="56"/>
        <v/>
      </c>
      <c r="P149" s="31" t="s">
        <v>153</v>
      </c>
      <c r="Q149" s="31" t="s">
        <v>148</v>
      </c>
    </row>
    <row r="150" spans="3:17" ht="21">
      <c r="C150" s="31">
        <v>422006</v>
      </c>
      <c r="D150" s="31" t="s">
        <v>159</v>
      </c>
      <c r="E150" s="36" t="s">
        <v>11</v>
      </c>
      <c r="F150" s="36" t="s">
        <v>108</v>
      </c>
      <c r="G150" s="36">
        <v>4</v>
      </c>
      <c r="H150" s="36" t="s">
        <v>20</v>
      </c>
      <c r="I150" s="65"/>
      <c r="J150" s="65"/>
      <c r="K150" s="53">
        <f>SUMIF('قيود اليوميه'!G:G,'ميزان المراجعه'!C150,'قيود اليوميه'!D:D)</f>
        <v>0</v>
      </c>
      <c r="L150" s="53">
        <f>SUMIF('قيود اليوميه'!G:G,'ميزان المراجعه'!C150,'قيود اليوميه'!E:E)</f>
        <v>0</v>
      </c>
      <c r="M150" s="53" t="str">
        <f t="shared" si="57"/>
        <v/>
      </c>
      <c r="N150" s="53" t="str">
        <f t="shared" si="58"/>
        <v/>
      </c>
      <c r="O150" s="54" t="str">
        <f t="shared" si="56"/>
        <v/>
      </c>
      <c r="P150" s="31" t="s">
        <v>153</v>
      </c>
      <c r="Q150" s="31" t="s">
        <v>148</v>
      </c>
    </row>
    <row r="151" spans="3:17" ht="21">
      <c r="C151" s="43">
        <v>43</v>
      </c>
      <c r="D151" s="43" t="s">
        <v>160</v>
      </c>
      <c r="E151" s="60" t="s">
        <v>11</v>
      </c>
      <c r="F151" s="60" t="s">
        <v>108</v>
      </c>
      <c r="G151" s="60">
        <v>2</v>
      </c>
      <c r="H151" s="60" t="s">
        <v>16</v>
      </c>
      <c r="I151" s="60"/>
      <c r="J151" s="60"/>
      <c r="K151" s="63"/>
      <c r="L151" s="63"/>
      <c r="M151" s="63"/>
      <c r="N151" s="63"/>
      <c r="O151" s="63"/>
      <c r="P151" s="60"/>
      <c r="Q151" s="60"/>
    </row>
    <row r="152" spans="3:17" ht="21">
      <c r="C152" s="23">
        <v>431</v>
      </c>
      <c r="D152" s="23" t="s">
        <v>161</v>
      </c>
      <c r="E152" s="61" t="s">
        <v>11</v>
      </c>
      <c r="F152" s="61" t="s">
        <v>108</v>
      </c>
      <c r="G152" s="61">
        <v>3</v>
      </c>
      <c r="H152" s="61" t="s">
        <v>16</v>
      </c>
      <c r="I152" s="61"/>
      <c r="J152" s="61"/>
      <c r="K152" s="64"/>
      <c r="L152" s="64"/>
      <c r="M152" s="64"/>
      <c r="N152" s="64"/>
      <c r="O152" s="64"/>
      <c r="P152" s="61"/>
      <c r="Q152" s="61"/>
    </row>
    <row r="153" spans="3:17" ht="21">
      <c r="C153" s="31">
        <v>431000</v>
      </c>
      <c r="D153" s="31" t="s">
        <v>162</v>
      </c>
      <c r="E153" s="36" t="s">
        <v>11</v>
      </c>
      <c r="F153" s="36" t="s">
        <v>108</v>
      </c>
      <c r="G153" s="36">
        <v>4</v>
      </c>
      <c r="H153" s="36" t="s">
        <v>20</v>
      </c>
      <c r="I153" s="65"/>
      <c r="J153" s="65"/>
      <c r="K153" s="53">
        <f>SUMIF('قيود اليوميه'!G:G,'ميزان المراجعه'!C153,'قيود اليوميه'!D:D)</f>
        <v>0</v>
      </c>
      <c r="L153" s="53">
        <f>SUMIF('قيود اليوميه'!G:G,'ميزان المراجعه'!C153,'قيود اليوميه'!E:E)</f>
        <v>0</v>
      </c>
      <c r="M153" s="53" t="str">
        <f t="shared" ref="M153:M155" si="59">IF(I153-J153+K153-L153&gt;0,I153-J153+K153-L153,"")</f>
        <v/>
      </c>
      <c r="N153" s="53" t="str">
        <f t="shared" ref="N153:N155" si="60">IF(J153-I153+L153-K153&gt;0,J153-I153+L153-K153,"")</f>
        <v/>
      </c>
      <c r="O153" s="54" t="str">
        <f t="shared" si="56"/>
        <v/>
      </c>
      <c r="P153" s="36" t="s">
        <v>161</v>
      </c>
      <c r="Q153" s="36" t="s">
        <v>160</v>
      </c>
    </row>
    <row r="154" spans="3:17" ht="21">
      <c r="C154" s="31">
        <v>431001</v>
      </c>
      <c r="D154" s="31" t="s">
        <v>68</v>
      </c>
      <c r="E154" s="36" t="s">
        <v>11</v>
      </c>
      <c r="F154" s="36" t="s">
        <v>108</v>
      </c>
      <c r="G154" s="36">
        <v>4</v>
      </c>
      <c r="H154" s="36" t="s">
        <v>20</v>
      </c>
      <c r="I154" s="65"/>
      <c r="J154" s="65"/>
      <c r="K154" s="53">
        <f>SUMIF('قيود اليوميه'!G:G,'ميزان المراجعه'!C154,'قيود اليوميه'!D:D)</f>
        <v>0</v>
      </c>
      <c r="L154" s="53">
        <f>SUMIF('قيود اليوميه'!G:G,'ميزان المراجعه'!C154,'قيود اليوميه'!E:E)</f>
        <v>0</v>
      </c>
      <c r="M154" s="53" t="str">
        <f t="shared" si="59"/>
        <v/>
      </c>
      <c r="N154" s="53" t="str">
        <f t="shared" si="60"/>
        <v/>
      </c>
      <c r="O154" s="54" t="str">
        <f t="shared" si="56"/>
        <v/>
      </c>
      <c r="P154" s="36" t="s">
        <v>161</v>
      </c>
      <c r="Q154" s="36" t="s">
        <v>160</v>
      </c>
    </row>
    <row r="155" spans="3:17" ht="21">
      <c r="C155" s="31">
        <v>431002</v>
      </c>
      <c r="D155" s="31" t="s">
        <v>163</v>
      </c>
      <c r="E155" s="36" t="s">
        <v>11</v>
      </c>
      <c r="F155" s="36" t="s">
        <v>108</v>
      </c>
      <c r="G155" s="36">
        <v>4</v>
      </c>
      <c r="H155" s="36" t="s">
        <v>20</v>
      </c>
      <c r="I155" s="65"/>
      <c r="J155" s="65"/>
      <c r="K155" s="53">
        <f>SUMIF('قيود اليوميه'!G:G,'ميزان المراجعه'!C155,'قيود اليوميه'!D:D)</f>
        <v>8900</v>
      </c>
      <c r="L155" s="53">
        <f>SUMIF('قيود اليوميه'!G:G,'ميزان المراجعه'!C155,'قيود اليوميه'!E:E)</f>
        <v>0</v>
      </c>
      <c r="M155" s="53">
        <f t="shared" si="59"/>
        <v>8900</v>
      </c>
      <c r="N155" s="53" t="str">
        <f t="shared" si="60"/>
        <v/>
      </c>
      <c r="O155" s="54">
        <f t="shared" si="56"/>
        <v>-8900</v>
      </c>
      <c r="P155" s="36" t="s">
        <v>161</v>
      </c>
      <c r="Q155" s="36" t="s">
        <v>160</v>
      </c>
    </row>
    <row r="156" spans="3:17" ht="21">
      <c r="C156" s="43">
        <v>44</v>
      </c>
      <c r="D156" s="43" t="s">
        <v>164</v>
      </c>
      <c r="E156" s="60" t="s">
        <v>11</v>
      </c>
      <c r="F156" s="60" t="s">
        <v>108</v>
      </c>
      <c r="G156" s="60">
        <v>2</v>
      </c>
      <c r="H156" s="60" t="s">
        <v>16</v>
      </c>
      <c r="I156" s="60"/>
      <c r="J156" s="60"/>
      <c r="K156" s="63"/>
      <c r="L156" s="63"/>
      <c r="M156" s="63"/>
      <c r="N156" s="63"/>
      <c r="O156" s="63"/>
      <c r="P156" s="60"/>
      <c r="Q156" s="60"/>
    </row>
    <row r="157" spans="3:17" ht="21">
      <c r="C157" s="23">
        <v>441</v>
      </c>
      <c r="D157" s="23" t="s">
        <v>164</v>
      </c>
      <c r="E157" s="61" t="s">
        <v>11</v>
      </c>
      <c r="F157" s="61" t="s">
        <v>108</v>
      </c>
      <c r="G157" s="61">
        <v>3</v>
      </c>
      <c r="H157" s="61" t="s">
        <v>16</v>
      </c>
      <c r="I157" s="61"/>
      <c r="J157" s="61"/>
      <c r="K157" s="64"/>
      <c r="L157" s="64"/>
      <c r="M157" s="64"/>
      <c r="N157" s="64"/>
      <c r="O157" s="64"/>
      <c r="P157" s="61"/>
      <c r="Q157" s="61"/>
    </row>
    <row r="158" spans="3:17" ht="21">
      <c r="C158" s="31">
        <v>441000</v>
      </c>
      <c r="D158" s="31" t="s">
        <v>165</v>
      </c>
      <c r="E158" s="36" t="s">
        <v>11</v>
      </c>
      <c r="F158" s="36" t="s">
        <v>108</v>
      </c>
      <c r="G158" s="36">
        <v>4</v>
      </c>
      <c r="H158" s="36" t="s">
        <v>20</v>
      </c>
      <c r="I158" s="65"/>
      <c r="J158" s="65"/>
      <c r="K158" s="53">
        <f>SUMIF('قيود اليوميه'!G:G,'ميزان المراجعه'!C158,'قيود اليوميه'!D:D)</f>
        <v>0</v>
      </c>
      <c r="L158" s="53">
        <f>SUMIF('قيود اليوميه'!G:G,'ميزان المراجعه'!C158,'قيود اليوميه'!E:E)</f>
        <v>0</v>
      </c>
      <c r="M158" s="53" t="str">
        <f t="shared" ref="M158:M165" si="61">IF(I158-J158+K158-L158&gt;0,I158-J158+K158-L158,"")</f>
        <v/>
      </c>
      <c r="N158" s="53" t="str">
        <f t="shared" ref="N158:N165" si="62">IF(J158-I158+L158-K158&gt;0,J158-I158+L158-K158,"")</f>
        <v/>
      </c>
      <c r="O158" s="54" t="str">
        <f t="shared" si="56"/>
        <v/>
      </c>
      <c r="P158" s="31" t="s">
        <v>164</v>
      </c>
      <c r="Q158" s="31" t="s">
        <v>164</v>
      </c>
    </row>
    <row r="159" spans="3:17" ht="21">
      <c r="C159" s="31">
        <v>441001</v>
      </c>
      <c r="D159" s="31" t="s">
        <v>166</v>
      </c>
      <c r="E159" s="36" t="s">
        <v>11</v>
      </c>
      <c r="F159" s="36" t="s">
        <v>108</v>
      </c>
      <c r="G159" s="36">
        <v>4</v>
      </c>
      <c r="H159" s="36" t="s">
        <v>20</v>
      </c>
      <c r="I159" s="65"/>
      <c r="J159" s="65"/>
      <c r="K159" s="53">
        <f>SUMIF('قيود اليوميه'!G:G,'ميزان المراجعه'!C159,'قيود اليوميه'!D:D)</f>
        <v>0</v>
      </c>
      <c r="L159" s="53">
        <f>SUMIF('قيود اليوميه'!G:G,'ميزان المراجعه'!C159,'قيود اليوميه'!E:E)</f>
        <v>0</v>
      </c>
      <c r="M159" s="53" t="str">
        <f t="shared" si="61"/>
        <v/>
      </c>
      <c r="N159" s="53" t="str">
        <f t="shared" si="62"/>
        <v/>
      </c>
      <c r="O159" s="54" t="str">
        <f t="shared" si="56"/>
        <v/>
      </c>
      <c r="P159" s="31" t="s">
        <v>164</v>
      </c>
      <c r="Q159" s="31" t="s">
        <v>164</v>
      </c>
    </row>
    <row r="160" spans="3:17" ht="21">
      <c r="C160" s="31">
        <v>441002</v>
      </c>
      <c r="D160" s="31" t="s">
        <v>167</v>
      </c>
      <c r="E160" s="36" t="s">
        <v>11</v>
      </c>
      <c r="F160" s="36" t="s">
        <v>108</v>
      </c>
      <c r="G160" s="36">
        <v>4</v>
      </c>
      <c r="H160" s="36" t="s">
        <v>20</v>
      </c>
      <c r="I160" s="65"/>
      <c r="J160" s="65"/>
      <c r="K160" s="53">
        <f>SUMIF('قيود اليوميه'!G:G,'ميزان المراجعه'!C160,'قيود اليوميه'!D:D)</f>
        <v>0</v>
      </c>
      <c r="L160" s="53">
        <f>SUMIF('قيود اليوميه'!G:G,'ميزان المراجعه'!C160,'قيود اليوميه'!E:E)</f>
        <v>0</v>
      </c>
      <c r="M160" s="53" t="str">
        <f t="shared" si="61"/>
        <v/>
      </c>
      <c r="N160" s="53" t="str">
        <f t="shared" si="62"/>
        <v/>
      </c>
      <c r="O160" s="54" t="str">
        <f t="shared" si="56"/>
        <v/>
      </c>
      <c r="P160" s="31" t="s">
        <v>164</v>
      </c>
      <c r="Q160" s="31" t="s">
        <v>164</v>
      </c>
    </row>
    <row r="161" spans="3:17" ht="21">
      <c r="C161" s="31">
        <v>441003</v>
      </c>
      <c r="D161" s="31" t="s">
        <v>168</v>
      </c>
      <c r="E161" s="36" t="s">
        <v>11</v>
      </c>
      <c r="F161" s="36" t="s">
        <v>108</v>
      </c>
      <c r="G161" s="36">
        <v>4</v>
      </c>
      <c r="H161" s="36" t="s">
        <v>20</v>
      </c>
      <c r="I161" s="65"/>
      <c r="J161" s="65"/>
      <c r="K161" s="53">
        <f>SUMIF('قيود اليوميه'!G:G,'ميزان المراجعه'!C161,'قيود اليوميه'!D:D)</f>
        <v>0</v>
      </c>
      <c r="L161" s="53">
        <f>SUMIF('قيود اليوميه'!G:G,'ميزان المراجعه'!C161,'قيود اليوميه'!E:E)</f>
        <v>0</v>
      </c>
      <c r="M161" s="53" t="str">
        <f t="shared" si="61"/>
        <v/>
      </c>
      <c r="N161" s="53" t="str">
        <f t="shared" si="62"/>
        <v/>
      </c>
      <c r="O161" s="54" t="str">
        <f t="shared" si="56"/>
        <v/>
      </c>
      <c r="P161" s="31" t="s">
        <v>164</v>
      </c>
      <c r="Q161" s="31" t="s">
        <v>164</v>
      </c>
    </row>
    <row r="162" spans="3:17" ht="21">
      <c r="C162" s="31">
        <v>441004</v>
      </c>
      <c r="D162" s="31" t="s">
        <v>169</v>
      </c>
      <c r="E162" s="36" t="s">
        <v>11</v>
      </c>
      <c r="F162" s="36" t="s">
        <v>108</v>
      </c>
      <c r="G162" s="36">
        <v>4</v>
      </c>
      <c r="H162" s="36" t="s">
        <v>20</v>
      </c>
      <c r="I162" s="65"/>
      <c r="J162" s="65"/>
      <c r="K162" s="53">
        <f>SUMIF('قيود اليوميه'!G:G,'ميزان المراجعه'!C162,'قيود اليوميه'!D:D)</f>
        <v>0</v>
      </c>
      <c r="L162" s="53">
        <f>SUMIF('قيود اليوميه'!G:G,'ميزان المراجعه'!C162,'قيود اليوميه'!E:E)</f>
        <v>0</v>
      </c>
      <c r="M162" s="53" t="str">
        <f t="shared" si="61"/>
        <v/>
      </c>
      <c r="N162" s="53" t="str">
        <f t="shared" si="62"/>
        <v/>
      </c>
      <c r="O162" s="54" t="str">
        <f t="shared" si="56"/>
        <v/>
      </c>
      <c r="P162" s="31" t="s">
        <v>164</v>
      </c>
      <c r="Q162" s="31" t="s">
        <v>164</v>
      </c>
    </row>
    <row r="163" spans="3:17" ht="21">
      <c r="C163" s="31">
        <v>441005</v>
      </c>
      <c r="D163" s="31" t="s">
        <v>170</v>
      </c>
      <c r="E163" s="36" t="s">
        <v>11</v>
      </c>
      <c r="F163" s="36" t="s">
        <v>108</v>
      </c>
      <c r="G163" s="36">
        <v>4</v>
      </c>
      <c r="H163" s="36" t="s">
        <v>20</v>
      </c>
      <c r="I163" s="65"/>
      <c r="J163" s="65"/>
      <c r="K163" s="53">
        <f>SUMIF('قيود اليوميه'!G:G,'ميزان المراجعه'!C163,'قيود اليوميه'!D:D)</f>
        <v>0</v>
      </c>
      <c r="L163" s="53">
        <f>SUMIF('قيود اليوميه'!G:G,'ميزان المراجعه'!C163,'قيود اليوميه'!E:E)</f>
        <v>0</v>
      </c>
      <c r="M163" s="53" t="str">
        <f t="shared" si="61"/>
        <v/>
      </c>
      <c r="N163" s="53" t="str">
        <f t="shared" si="62"/>
        <v/>
      </c>
      <c r="O163" s="54" t="str">
        <f t="shared" si="56"/>
        <v/>
      </c>
      <c r="P163" s="31" t="s">
        <v>164</v>
      </c>
      <c r="Q163" s="31" t="s">
        <v>164</v>
      </c>
    </row>
    <row r="164" spans="3:17" ht="21">
      <c r="C164" s="31">
        <v>441006</v>
      </c>
      <c r="D164" s="31" t="s">
        <v>171</v>
      </c>
      <c r="E164" s="36" t="s">
        <v>11</v>
      </c>
      <c r="F164" s="36" t="s">
        <v>108</v>
      </c>
      <c r="G164" s="36">
        <v>4</v>
      </c>
      <c r="H164" s="36" t="s">
        <v>20</v>
      </c>
      <c r="I164" s="65"/>
      <c r="J164" s="65"/>
      <c r="K164" s="53">
        <f>SUMIF('قيود اليوميه'!G:G,'ميزان المراجعه'!C164,'قيود اليوميه'!D:D)</f>
        <v>0</v>
      </c>
      <c r="L164" s="53">
        <f>SUMIF('قيود اليوميه'!G:G,'ميزان المراجعه'!C164,'قيود اليوميه'!E:E)</f>
        <v>0</v>
      </c>
      <c r="M164" s="53" t="str">
        <f t="shared" si="61"/>
        <v/>
      </c>
      <c r="N164" s="53" t="str">
        <f t="shared" si="62"/>
        <v/>
      </c>
      <c r="O164" s="54" t="str">
        <f t="shared" si="56"/>
        <v/>
      </c>
      <c r="P164" s="31" t="s">
        <v>164</v>
      </c>
      <c r="Q164" s="31" t="s">
        <v>164</v>
      </c>
    </row>
    <row r="165" spans="3:17" ht="21">
      <c r="C165" s="31">
        <v>441007</v>
      </c>
      <c r="D165" s="31" t="s">
        <v>172</v>
      </c>
      <c r="E165" s="36" t="s">
        <v>11</v>
      </c>
      <c r="F165" s="36" t="s">
        <v>108</v>
      </c>
      <c r="G165" s="36">
        <v>4</v>
      </c>
      <c r="H165" s="36" t="s">
        <v>20</v>
      </c>
      <c r="I165" s="65"/>
      <c r="J165" s="65"/>
      <c r="K165" s="53">
        <f>SUMIF('قيود اليوميه'!G:G,'ميزان المراجعه'!C165,'قيود اليوميه'!D:D)</f>
        <v>0</v>
      </c>
      <c r="L165" s="53">
        <f>SUMIF('قيود اليوميه'!G:G,'ميزان المراجعه'!C165,'قيود اليوميه'!E:E)</f>
        <v>0</v>
      </c>
      <c r="M165" s="53" t="str">
        <f t="shared" si="61"/>
        <v/>
      </c>
      <c r="N165" s="53" t="str">
        <f t="shared" si="62"/>
        <v/>
      </c>
      <c r="O165" s="54" t="str">
        <f t="shared" si="56"/>
        <v/>
      </c>
      <c r="P165" s="31" t="s">
        <v>164</v>
      </c>
      <c r="Q165" s="31" t="s">
        <v>164</v>
      </c>
    </row>
    <row r="166" spans="3:17" ht="21">
      <c r="C166" s="43">
        <v>442</v>
      </c>
      <c r="D166" s="43" t="s">
        <v>173</v>
      </c>
      <c r="E166" s="60" t="s">
        <v>11</v>
      </c>
      <c r="F166" s="60" t="s">
        <v>108</v>
      </c>
      <c r="G166" s="60">
        <v>4</v>
      </c>
      <c r="H166" s="60" t="s">
        <v>20</v>
      </c>
      <c r="I166" s="63"/>
      <c r="J166" s="63"/>
      <c r="K166" s="55"/>
      <c r="L166" s="55"/>
      <c r="M166" s="55"/>
      <c r="N166" s="55"/>
      <c r="O166" s="66"/>
      <c r="P166" s="43"/>
      <c r="Q166" s="43"/>
    </row>
    <row r="167" spans="3:17" ht="21">
      <c r="C167" s="31">
        <v>442000</v>
      </c>
      <c r="D167" s="31" t="s">
        <v>173</v>
      </c>
      <c r="E167" s="36" t="s">
        <v>11</v>
      </c>
      <c r="F167" s="36" t="s">
        <v>108</v>
      </c>
      <c r="G167" s="36">
        <v>4</v>
      </c>
      <c r="H167" s="36" t="s">
        <v>20</v>
      </c>
      <c r="I167" s="65"/>
      <c r="J167" s="65"/>
      <c r="K167" s="53">
        <f>SUMIF('قيود اليوميه'!G:G,'ميزان المراجعه'!C167,'قيود اليوميه'!D:D)</f>
        <v>20000</v>
      </c>
      <c r="L167" s="53">
        <f>SUMIF('قيود اليوميه'!G:G,'ميزان المراجعه'!C167,'قيود اليوميه'!E:E)</f>
        <v>0</v>
      </c>
      <c r="M167" s="53">
        <f>IF(I167-J167+K167-L167&gt;0,I167-J167+K167-L167,"")</f>
        <v>20000</v>
      </c>
      <c r="N167" s="53" t="str">
        <f>IF(J167-I167+L167-K167&gt;0,J167-I167+L167-K167,"")</f>
        <v/>
      </c>
      <c r="O167" s="54">
        <f>IFERROR(IF(N167&lt;&gt;"",N167,M167*-1),"")</f>
        <v>-20000</v>
      </c>
      <c r="P167" s="31" t="s">
        <v>173</v>
      </c>
      <c r="Q167" s="31" t="s">
        <v>173</v>
      </c>
    </row>
    <row r="168" spans="3:17" ht="30.75" customHeight="1">
      <c r="C168" s="71" t="s">
        <v>178</v>
      </c>
      <c r="D168" s="71"/>
      <c r="E168" s="71"/>
      <c r="F168" s="71"/>
      <c r="G168" s="71"/>
      <c r="H168" s="71"/>
      <c r="I168" s="67">
        <f t="shared" ref="I168:O168" si="63">SUBTOTAL(9,I6:I167)</f>
        <v>0</v>
      </c>
      <c r="J168" s="67">
        <f t="shared" si="63"/>
        <v>0</v>
      </c>
      <c r="K168" s="67">
        <f t="shared" si="63"/>
        <v>5153650</v>
      </c>
      <c r="L168" s="67">
        <f t="shared" si="63"/>
        <v>5153650</v>
      </c>
      <c r="M168" s="67">
        <f t="shared" si="63"/>
        <v>2391250</v>
      </c>
      <c r="N168" s="67">
        <f t="shared" si="63"/>
        <v>2391250</v>
      </c>
      <c r="O168" s="67">
        <f t="shared" si="63"/>
        <v>0</v>
      </c>
      <c r="P168" s="68"/>
      <c r="Q168" s="68"/>
    </row>
    <row r="169" spans="3:17" ht="15" customHeight="1">
      <c r="J169" s="73">
        <f>I168-J168</f>
        <v>0</v>
      </c>
      <c r="L169" s="73">
        <f>K168-L168</f>
        <v>0</v>
      </c>
      <c r="N169" s="73">
        <f>M168-N168</f>
        <v>0</v>
      </c>
      <c r="O169" s="69"/>
    </row>
    <row r="170" spans="3:17" ht="15" customHeight="1">
      <c r="J170" s="73"/>
      <c r="L170" s="73"/>
      <c r="N170" s="73"/>
      <c r="O170" s="69"/>
    </row>
  </sheetData>
  <autoFilter ref="C5:Q170" xr:uid="{00000000-0009-0000-0000-000000000000}"/>
  <mergeCells count="15">
    <mergeCell ref="J169:J170"/>
    <mergeCell ref="L169:L170"/>
    <mergeCell ref="N169:N170"/>
    <mergeCell ref="P4:P5"/>
    <mergeCell ref="Q4:Q5"/>
    <mergeCell ref="I4:J4"/>
    <mergeCell ref="K4:L4"/>
    <mergeCell ref="M4:N4"/>
    <mergeCell ref="C168:H168"/>
    <mergeCell ref="C4:C5"/>
    <mergeCell ref="D4:D5"/>
    <mergeCell ref="E4:E5"/>
    <mergeCell ref="F4:F5"/>
    <mergeCell ref="G4:G5"/>
    <mergeCell ref="H4:H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04"/>
  <sheetViews>
    <sheetView rightToLeft="1" zoomScale="60" zoomScaleNormal="60" workbookViewId="0">
      <selection activeCell="M5" sqref="M5"/>
    </sheetView>
  </sheetViews>
  <sheetFormatPr defaultColWidth="9" defaultRowHeight="15"/>
  <cols>
    <col min="2" max="2" width="21.7109375" customWidth="1"/>
    <col min="3" max="3" width="19.85546875" customWidth="1"/>
    <col min="4" max="5" width="21.85546875" customWidth="1"/>
    <col min="6" max="7" width="20.5703125" customWidth="1"/>
    <col min="8" max="8" width="31.5703125" customWidth="1"/>
    <col min="9" max="9" width="48.85546875" customWidth="1"/>
    <col min="10" max="10" width="21.42578125" customWidth="1"/>
    <col min="11" max="11" width="18.42578125" customWidth="1"/>
    <col min="12" max="12" width="22.85546875" customWidth="1"/>
  </cols>
  <sheetData>
    <row r="1" spans="2:12" ht="36.75" customHeight="1">
      <c r="B1" s="74" t="s">
        <v>179</v>
      </c>
      <c r="C1" s="75"/>
      <c r="D1" s="75"/>
      <c r="E1" s="75"/>
      <c r="F1" s="75"/>
      <c r="G1" s="75"/>
      <c r="H1" s="75"/>
      <c r="I1" s="75"/>
      <c r="J1" s="75"/>
      <c r="K1" s="75"/>
      <c r="L1" s="75"/>
    </row>
    <row r="2" spans="2:12" ht="14.25" customHeight="1"/>
    <row r="3" spans="2:12" ht="35.25" customHeight="1">
      <c r="B3" s="22" t="s">
        <v>180</v>
      </c>
      <c r="C3" s="22" t="s">
        <v>181</v>
      </c>
      <c r="D3" s="22" t="s">
        <v>182</v>
      </c>
      <c r="E3" s="22" t="s">
        <v>12</v>
      </c>
      <c r="F3" s="22" t="s">
        <v>183</v>
      </c>
      <c r="G3" s="22" t="s">
        <v>184</v>
      </c>
      <c r="H3" s="22" t="s">
        <v>1</v>
      </c>
      <c r="I3" s="22" t="s">
        <v>185</v>
      </c>
      <c r="J3" s="22" t="s">
        <v>186</v>
      </c>
      <c r="K3" s="22" t="s">
        <v>187</v>
      </c>
      <c r="L3" s="22" t="s">
        <v>188</v>
      </c>
    </row>
    <row r="4" spans="2:12" ht="21">
      <c r="B4" s="45">
        <v>45658</v>
      </c>
      <c r="C4" s="3">
        <v>1</v>
      </c>
      <c r="D4" s="4"/>
      <c r="E4" s="4">
        <v>2000000</v>
      </c>
      <c r="F4" s="24">
        <f>D4-E4</f>
        <v>-2000000</v>
      </c>
      <c r="G4" s="3">
        <v>211000</v>
      </c>
      <c r="H4" s="23" t="str">
        <f>IF(G4&lt;&gt;"",VLOOKUP(G4,'ميزان المراجعه'!$C$6:$D$167,2,FALSE),"")</f>
        <v>راس المال</v>
      </c>
      <c r="I4" s="3" t="s">
        <v>189</v>
      </c>
      <c r="J4" s="3"/>
      <c r="K4" s="46" t="str">
        <f>IF(J4&lt;&gt;"",VLOOKUP(J4,الجهات!$B$4:$D$23,2),"")</f>
        <v/>
      </c>
      <c r="L4" s="46" t="str">
        <f>IF(J4&lt;&gt;"",VLOOKUP(J4,الجهات!$B$4:$D$23,3),"")</f>
        <v/>
      </c>
    </row>
    <row r="5" spans="2:12" ht="21">
      <c r="B5" s="45">
        <v>45658</v>
      </c>
      <c r="C5" s="3">
        <v>1</v>
      </c>
      <c r="D5" s="4">
        <v>800000</v>
      </c>
      <c r="E5" s="4"/>
      <c r="F5" s="24">
        <f t="shared" ref="F5:F14" si="0">F4+D5-E5</f>
        <v>-1200000</v>
      </c>
      <c r="G5" s="3">
        <v>235000</v>
      </c>
      <c r="H5" s="23" t="str">
        <f>IF(G5&lt;&gt;"",VLOOKUP(G5,'ميزان المراجعه'!$C$6:$D$167,2,FALSE),"")</f>
        <v>المستحق الي الشريك  عبدالله</v>
      </c>
      <c r="I5" s="3" t="s">
        <v>189</v>
      </c>
      <c r="J5" s="3"/>
      <c r="K5" s="46" t="str">
        <f>IF(J5&lt;&gt;"",VLOOKUP(J5,الجهات!$B$4:$D$23,2),"")</f>
        <v/>
      </c>
      <c r="L5" s="46" t="str">
        <f>IF(J5&lt;&gt;"",VLOOKUP(J5,الجهات!$B$4:$D$23,3),"")</f>
        <v/>
      </c>
    </row>
    <row r="6" spans="2:12" ht="21">
      <c r="B6" s="45">
        <v>45658</v>
      </c>
      <c r="C6" s="3">
        <v>1</v>
      </c>
      <c r="D6" s="4">
        <v>800000</v>
      </c>
      <c r="E6" s="4"/>
      <c r="F6" s="24">
        <f t="shared" si="0"/>
        <v>-400000</v>
      </c>
      <c r="G6" s="3">
        <v>235001</v>
      </c>
      <c r="H6" s="23" t="str">
        <f>IF(G6&lt;&gt;"",VLOOKUP(G6,'ميزان المراجعه'!$C$6:$D$167,2,FALSE),"")</f>
        <v xml:space="preserve">المستحق الي الشريك محمد  </v>
      </c>
      <c r="I6" s="3" t="s">
        <v>189</v>
      </c>
      <c r="J6" s="3"/>
      <c r="K6" s="46" t="str">
        <f>IF(J6&lt;&gt;"",VLOOKUP(J6,الجهات!$B$4:$D$23,2),"")</f>
        <v/>
      </c>
      <c r="L6" s="46" t="str">
        <f>IF(J6&lt;&gt;"",VLOOKUP(J6,الجهات!$B$4:$D$23,3),"")</f>
        <v/>
      </c>
    </row>
    <row r="7" spans="2:12" ht="21">
      <c r="B7" s="45">
        <v>45658</v>
      </c>
      <c r="C7" s="3">
        <v>1</v>
      </c>
      <c r="D7" s="4">
        <v>400000</v>
      </c>
      <c r="E7" s="4"/>
      <c r="F7" s="24">
        <f t="shared" si="0"/>
        <v>0</v>
      </c>
      <c r="G7" s="3">
        <v>235002</v>
      </c>
      <c r="H7" s="23" t="str">
        <f>IF(G7&lt;&gt;"",VLOOKUP(G7,'ميزان المراجعه'!$C$6:$D$167,2,FALSE),"")</f>
        <v xml:space="preserve">المستحق الي الشريك خالد  </v>
      </c>
      <c r="I7" s="3" t="s">
        <v>189</v>
      </c>
      <c r="J7" s="3"/>
      <c r="K7" s="46" t="str">
        <f>IF(J7&lt;&gt;"",VLOOKUP(J7,الجهات!$B$4:$D$23,2),"")</f>
        <v/>
      </c>
      <c r="L7" s="46" t="str">
        <f>IF(J7&lt;&gt;"",VLOOKUP(J7,الجهات!$B$4:$D$23,3),"")</f>
        <v/>
      </c>
    </row>
    <row r="8" spans="2:12" ht="21">
      <c r="B8" s="3"/>
      <c r="C8" s="3"/>
      <c r="D8" s="4"/>
      <c r="E8" s="4"/>
      <c r="F8" s="24">
        <f t="shared" si="0"/>
        <v>0</v>
      </c>
      <c r="G8" s="3"/>
      <c r="H8" s="23" t="str">
        <f>IF(G8&lt;&gt;"",VLOOKUP(G8,'ميزان المراجعه'!$C$6:$D$167,2,FALSE),"")</f>
        <v/>
      </c>
      <c r="I8" s="3"/>
      <c r="J8" s="3"/>
      <c r="K8" s="46" t="str">
        <f>IF(J8&lt;&gt;"",VLOOKUP(J8,الجهات!$B$4:$D$23,2),"")</f>
        <v/>
      </c>
      <c r="L8" s="46" t="str">
        <f>IF(J8&lt;&gt;"",VLOOKUP(J8,الجهات!$B$4:$D$23,3),"")</f>
        <v/>
      </c>
    </row>
    <row r="9" spans="2:12" ht="21">
      <c r="B9" s="3"/>
      <c r="C9" s="3"/>
      <c r="D9" s="4"/>
      <c r="E9" s="4"/>
      <c r="F9" s="24">
        <f t="shared" si="0"/>
        <v>0</v>
      </c>
      <c r="G9" s="3"/>
      <c r="H9" s="23" t="str">
        <f>IF(G9&lt;&gt;"",VLOOKUP(G9,'ميزان المراجعه'!$C$6:$D$167,2,FALSE),"")</f>
        <v/>
      </c>
      <c r="I9" s="3"/>
      <c r="J9" s="3"/>
      <c r="K9" s="46" t="str">
        <f>IF(J9&lt;&gt;"",VLOOKUP(J9,الجهات!$B$4:$D$23,2),"")</f>
        <v/>
      </c>
      <c r="L9" s="46" t="str">
        <f>IF(J9&lt;&gt;"",VLOOKUP(J9,الجهات!$B$4:$D$23,3),"")</f>
        <v/>
      </c>
    </row>
    <row r="10" spans="2:12" ht="21">
      <c r="B10" s="3"/>
      <c r="C10" s="3">
        <v>2</v>
      </c>
      <c r="D10" s="4">
        <v>800000</v>
      </c>
      <c r="E10" s="4"/>
      <c r="F10" s="24">
        <f t="shared" si="0"/>
        <v>800000</v>
      </c>
      <c r="G10" s="3">
        <v>121004</v>
      </c>
      <c r="H10" s="23" t="str">
        <f>IF(G10&lt;&gt;"",VLOOKUP(G10,'ميزان المراجعه'!$C$6:$D$167,2,FALSE),"")</f>
        <v>حساب بنك الCIB</v>
      </c>
      <c r="I10" s="3"/>
      <c r="J10" s="3"/>
      <c r="K10" s="46" t="str">
        <f>IF(J10&lt;&gt;"",VLOOKUP(J10,الجهات!$B$4:$D$23,2),"")</f>
        <v/>
      </c>
      <c r="L10" s="46" t="str">
        <f>IF(J10&lt;&gt;"",VLOOKUP(J10,الجهات!$B$4:$D$23,3),"")</f>
        <v/>
      </c>
    </row>
    <row r="11" spans="2:12" ht="21">
      <c r="B11" s="3"/>
      <c r="C11" s="3">
        <v>2</v>
      </c>
      <c r="D11" s="4">
        <v>400000</v>
      </c>
      <c r="E11" s="4"/>
      <c r="F11" s="24">
        <f t="shared" si="0"/>
        <v>1200000</v>
      </c>
      <c r="G11" s="3">
        <v>121003</v>
      </c>
      <c r="H11" s="23" t="str">
        <f>IF(G11&lt;&gt;"",VLOOKUP(G11,'ميزان المراجعه'!$C$6:$D$167,2,FALSE),"")</f>
        <v>حساب بنك مصر</v>
      </c>
      <c r="I11" s="3"/>
      <c r="J11" s="3"/>
      <c r="K11" s="46" t="str">
        <f>IF(J11&lt;&gt;"",VLOOKUP(J11,الجهات!$B$4:$D$23,2),"")</f>
        <v/>
      </c>
      <c r="L11" s="46" t="str">
        <f>IF(J11&lt;&gt;"",VLOOKUP(J11,الجهات!$B$4:$D$23,3),"")</f>
        <v/>
      </c>
    </row>
    <row r="12" spans="2:12" ht="21">
      <c r="B12" s="45">
        <v>45779</v>
      </c>
      <c r="C12" s="3">
        <v>2</v>
      </c>
      <c r="D12" s="4">
        <v>800000</v>
      </c>
      <c r="E12" s="4"/>
      <c r="F12" s="24">
        <f t="shared" si="0"/>
        <v>2000000</v>
      </c>
      <c r="G12" s="3">
        <v>121002</v>
      </c>
      <c r="H12" s="23" t="str">
        <f>IF(G12&lt;&gt;"",VLOOKUP(G12,'ميزان المراجعه'!$C$6:$D$167,2,FALSE),"")</f>
        <v>حساب البنك الاهلي</v>
      </c>
      <c r="I12" s="3" t="s">
        <v>190</v>
      </c>
      <c r="J12" s="3"/>
      <c r="K12" s="46" t="str">
        <f>IF(J12&lt;&gt;"",VLOOKUP(J12,الجهات!$B$4:$D$23,2),"")</f>
        <v/>
      </c>
      <c r="L12" s="46" t="str">
        <f>IF(J12&lt;&gt;"",VLOOKUP(J12,الجهات!$B$4:$D$23,3),"")</f>
        <v/>
      </c>
    </row>
    <row r="13" spans="2:12" ht="21">
      <c r="B13" s="45">
        <v>45779</v>
      </c>
      <c r="C13" s="3">
        <v>2</v>
      </c>
      <c r="D13" s="4"/>
      <c r="E13" s="4">
        <v>800000</v>
      </c>
      <c r="F13" s="24">
        <f t="shared" si="0"/>
        <v>1200000</v>
      </c>
      <c r="G13" s="3">
        <v>235000</v>
      </c>
      <c r="H13" s="23" t="str">
        <f>IF(G13&lt;&gt;"",VLOOKUP(G13,'ميزان المراجعه'!$C$6:$D$167,2,FALSE),"")</f>
        <v>المستحق الي الشريك  عبدالله</v>
      </c>
      <c r="I13" s="3" t="s">
        <v>190</v>
      </c>
      <c r="J13" s="3"/>
      <c r="K13" s="46" t="str">
        <f>IF(J13&lt;&gt;"",VLOOKUP(J13,الجهات!$B$4:$D$23,2),"")</f>
        <v/>
      </c>
      <c r="L13" s="46" t="str">
        <f>IF(J13&lt;&gt;"",VLOOKUP(J13,الجهات!$B$4:$D$23,3),"")</f>
        <v/>
      </c>
    </row>
    <row r="14" spans="2:12" ht="21">
      <c r="B14" s="45">
        <v>45779</v>
      </c>
      <c r="C14" s="3">
        <v>2</v>
      </c>
      <c r="D14" s="4"/>
      <c r="E14" s="4">
        <v>800000</v>
      </c>
      <c r="F14" s="24">
        <f t="shared" si="0"/>
        <v>400000</v>
      </c>
      <c r="G14" s="3">
        <v>235001</v>
      </c>
      <c r="H14" s="23" t="str">
        <f>IF(G14&lt;&gt;"",VLOOKUP(G14,'ميزان المراجعه'!$C$6:$D$167,2,FALSE),"")</f>
        <v xml:space="preserve">المستحق الي الشريك محمد  </v>
      </c>
      <c r="I14" s="3" t="s">
        <v>190</v>
      </c>
      <c r="J14" s="3"/>
      <c r="K14" s="46" t="str">
        <f>IF(J14&lt;&gt;"",VLOOKUP(J14,الجهات!$B$4:$D$23,2),"")</f>
        <v/>
      </c>
      <c r="L14" s="46" t="str">
        <f>IF(J14&lt;&gt;"",VLOOKUP(J14,الجهات!$B$4:$D$23,3),"")</f>
        <v/>
      </c>
    </row>
    <row r="15" spans="2:12" ht="21">
      <c r="B15" s="45">
        <v>45779</v>
      </c>
      <c r="C15" s="3">
        <v>2</v>
      </c>
      <c r="D15" s="4"/>
      <c r="E15" s="4">
        <v>400000</v>
      </c>
      <c r="F15" s="24">
        <f t="shared" ref="F15:F73" si="1">F14+D15-E15</f>
        <v>0</v>
      </c>
      <c r="G15" s="3">
        <v>235002</v>
      </c>
      <c r="H15" s="23" t="str">
        <f>IF(G15&lt;&gt;"",VLOOKUP(G15,'ميزان المراجعه'!$C$6:$D$167,2,FALSE),"")</f>
        <v xml:space="preserve">المستحق الي الشريك خالد  </v>
      </c>
      <c r="I15" s="3" t="s">
        <v>190</v>
      </c>
      <c r="J15" s="3"/>
      <c r="K15" s="46" t="str">
        <f>IF(J15&lt;&gt;"",VLOOKUP(J15,الجهات!$B$4:$D$23,2),"")</f>
        <v/>
      </c>
      <c r="L15" s="46" t="str">
        <f>IF(J15&lt;&gt;"",VLOOKUP(J15,الجهات!$B$4:$D$23,3),"")</f>
        <v/>
      </c>
    </row>
    <row r="16" spans="2:12" ht="21">
      <c r="B16" s="3"/>
      <c r="C16" s="3"/>
      <c r="D16" s="4"/>
      <c r="E16" s="4"/>
      <c r="F16" s="24">
        <f t="shared" si="1"/>
        <v>0</v>
      </c>
      <c r="G16" s="3"/>
      <c r="H16" s="23" t="str">
        <f>IF(G16&lt;&gt;"",VLOOKUP(G16,'ميزان المراجعه'!$C$6:$D$167,2,FALSE),"")</f>
        <v/>
      </c>
      <c r="I16" s="3"/>
      <c r="J16" s="3"/>
      <c r="K16" s="46" t="str">
        <f>IF(J16&lt;&gt;"",VLOOKUP(J16,الجهات!$B$4:$D$23,2),"")</f>
        <v/>
      </c>
      <c r="L16" s="46" t="str">
        <f>IF(J16&lt;&gt;"",VLOOKUP(J16,الجهات!$B$4:$D$23,3),"")</f>
        <v/>
      </c>
    </row>
    <row r="17" spans="2:12" ht="21">
      <c r="B17" s="45">
        <v>45933</v>
      </c>
      <c r="C17" s="3">
        <v>3</v>
      </c>
      <c r="D17" s="4">
        <v>60000</v>
      </c>
      <c r="E17" s="4"/>
      <c r="F17" s="24">
        <f t="shared" si="1"/>
        <v>60000</v>
      </c>
      <c r="G17" s="3">
        <v>124000</v>
      </c>
      <c r="H17" s="23" t="str">
        <f>IF(G17&lt;&gt;"",VLOOKUP(G17,'ميزان المراجعه'!$C$6:$D$167,2,FALSE),"")</f>
        <v>ايجار مقدم</v>
      </c>
      <c r="I17" s="3" t="s">
        <v>191</v>
      </c>
      <c r="J17" s="3"/>
      <c r="K17" s="46" t="str">
        <f>IF(J17&lt;&gt;"",VLOOKUP(J17,الجهات!$B$4:$D$23,2),"")</f>
        <v/>
      </c>
      <c r="L17" s="46" t="str">
        <f>IF(J17&lt;&gt;"",VLOOKUP(J17,الجهات!$B$4:$D$23,3),"")</f>
        <v/>
      </c>
    </row>
    <row r="18" spans="2:12" ht="21">
      <c r="B18" s="45">
        <v>45933</v>
      </c>
      <c r="C18" s="3">
        <v>3</v>
      </c>
      <c r="D18" s="4">
        <v>5000</v>
      </c>
      <c r="E18" s="4"/>
      <c r="F18" s="24">
        <f t="shared" si="1"/>
        <v>65000</v>
      </c>
      <c r="G18" s="3">
        <v>431002</v>
      </c>
      <c r="H18" s="23" t="str">
        <f>IF(G18&lt;&gt;"",VLOOKUP(G18,'ميزان المراجعه'!$C$6:$D$167,2,FALSE),"")</f>
        <v>مصاريف بنكيه</v>
      </c>
      <c r="I18" s="3" t="s">
        <v>191</v>
      </c>
      <c r="J18" s="3"/>
      <c r="K18" s="46" t="str">
        <f>IF(J18&lt;&gt;"",VLOOKUP(J18,الجهات!$B$4:$D$23,2),"")</f>
        <v/>
      </c>
      <c r="L18" s="46" t="str">
        <f>IF(J18&lt;&gt;"",VLOOKUP(J18,الجهات!$B$4:$D$23,3),"")</f>
        <v/>
      </c>
    </row>
    <row r="19" spans="2:12" ht="21">
      <c r="B19" s="45">
        <v>45933</v>
      </c>
      <c r="C19" s="3">
        <v>3</v>
      </c>
      <c r="D19" s="4"/>
      <c r="E19" s="4">
        <v>60000</v>
      </c>
      <c r="F19" s="24">
        <f t="shared" si="1"/>
        <v>5000</v>
      </c>
      <c r="G19" s="3">
        <v>121002</v>
      </c>
      <c r="H19" s="23" t="str">
        <f>IF(G19&lt;&gt;"",VLOOKUP(G19,'ميزان المراجعه'!$C$6:$D$167,2,FALSE),"")</f>
        <v>حساب البنك الاهلي</v>
      </c>
      <c r="I19" s="3" t="s">
        <v>191</v>
      </c>
      <c r="J19" s="3"/>
      <c r="K19" s="46" t="str">
        <f>IF(J19&lt;&gt;"",VLOOKUP(J19,الجهات!$B$4:$D$23,2),"")</f>
        <v/>
      </c>
      <c r="L19" s="46" t="str">
        <f>IF(J19&lt;&gt;"",VLOOKUP(J19,الجهات!$B$4:$D$23,3),"")</f>
        <v/>
      </c>
    </row>
    <row r="20" spans="2:12" ht="21">
      <c r="B20" s="45">
        <v>45933</v>
      </c>
      <c r="C20" s="3">
        <v>3</v>
      </c>
      <c r="D20" s="4"/>
      <c r="E20" s="4">
        <v>5000</v>
      </c>
      <c r="F20" s="24">
        <f t="shared" si="1"/>
        <v>0</v>
      </c>
      <c r="G20" s="3">
        <v>121002</v>
      </c>
      <c r="H20" s="23" t="str">
        <f>IF(G20&lt;&gt;"",VLOOKUP(G20,'ميزان المراجعه'!$C$6:$D$167,2,FALSE),"")</f>
        <v>حساب البنك الاهلي</v>
      </c>
      <c r="I20" s="3" t="s">
        <v>191</v>
      </c>
      <c r="J20" s="3"/>
      <c r="K20" s="46" t="str">
        <f>IF(J20&lt;&gt;"",VLOOKUP(J20,الجهات!$B$4:$D$23,2),"")</f>
        <v/>
      </c>
      <c r="L20" s="46" t="str">
        <f>IF(J20&lt;&gt;"",VLOOKUP(J20,الجهات!$B$4:$D$23,3),"")</f>
        <v/>
      </c>
    </row>
    <row r="21" spans="2:12" ht="21">
      <c r="B21" s="45"/>
      <c r="C21" s="3"/>
      <c r="D21" s="4"/>
      <c r="E21" s="4"/>
      <c r="F21" s="24">
        <f t="shared" si="1"/>
        <v>0</v>
      </c>
      <c r="G21" s="3"/>
      <c r="H21" s="23" t="str">
        <f>IF(G21&lt;&gt;"",VLOOKUP(G21,'ميزان المراجعه'!$C$6:$D$167,2,FALSE),"")</f>
        <v/>
      </c>
      <c r="I21" s="3"/>
      <c r="J21" s="3"/>
      <c r="K21" s="46" t="str">
        <f>IF(J21&lt;&gt;"",VLOOKUP(J21,الجهات!$B$4:$D$23,2),"")</f>
        <v/>
      </c>
      <c r="L21" s="46" t="str">
        <f>IF(J21&lt;&gt;"",VLOOKUP(J21,الجهات!$B$4:$D$23,3),"")</f>
        <v/>
      </c>
    </row>
    <row r="22" spans="2:12" ht="21">
      <c r="B22" s="45" t="s">
        <v>192</v>
      </c>
      <c r="C22" s="3">
        <v>4</v>
      </c>
      <c r="D22" s="4">
        <v>75000</v>
      </c>
      <c r="E22" s="4"/>
      <c r="F22" s="24">
        <f t="shared" si="1"/>
        <v>75000</v>
      </c>
      <c r="G22" s="3">
        <v>124000</v>
      </c>
      <c r="H22" s="23" t="str">
        <f>IF(G22&lt;&gt;"",VLOOKUP(G22,'ميزان المراجعه'!$C$6:$D$167,2,FALSE),"")</f>
        <v>ايجار مقدم</v>
      </c>
      <c r="I22" s="3" t="s">
        <v>193</v>
      </c>
      <c r="J22" s="3"/>
      <c r="K22" s="46" t="str">
        <f>IF(J22&lt;&gt;"",VLOOKUP(J22,الجهات!$B$4:$D$23,2),"")</f>
        <v/>
      </c>
      <c r="L22" s="46" t="str">
        <f>IF(J22&lt;&gt;"",VLOOKUP(J22,الجهات!$B$4:$D$23,3),"")</f>
        <v/>
      </c>
    </row>
    <row r="23" spans="2:12" ht="21">
      <c r="B23" s="45" t="s">
        <v>192</v>
      </c>
      <c r="C23" s="3">
        <v>4</v>
      </c>
      <c r="D23" s="4">
        <v>700</v>
      </c>
      <c r="E23" s="4"/>
      <c r="F23" s="24">
        <f t="shared" si="1"/>
        <v>75700</v>
      </c>
      <c r="G23" s="3">
        <v>431002</v>
      </c>
      <c r="H23" s="23" t="str">
        <f>IF(G23&lt;&gt;"",VLOOKUP(G23,'ميزان المراجعه'!$C$6:$D$167,2,FALSE),"")</f>
        <v>مصاريف بنكيه</v>
      </c>
      <c r="I23" s="3" t="s">
        <v>193</v>
      </c>
      <c r="J23" s="3"/>
      <c r="K23" s="46" t="str">
        <f>IF(J23&lt;&gt;"",VLOOKUP(J23,الجهات!$B$4:$D$23,2),"")</f>
        <v/>
      </c>
      <c r="L23" s="46" t="str">
        <f>IF(J23&lt;&gt;"",VLOOKUP(J23,الجهات!$B$4:$D$23,3),"")</f>
        <v/>
      </c>
    </row>
    <row r="24" spans="2:12" ht="21">
      <c r="B24" s="45" t="s">
        <v>192</v>
      </c>
      <c r="C24" s="3">
        <v>4</v>
      </c>
      <c r="D24" s="4"/>
      <c r="E24" s="4">
        <v>75000</v>
      </c>
      <c r="F24" s="24">
        <f t="shared" si="1"/>
        <v>700</v>
      </c>
      <c r="G24" s="3">
        <v>121004</v>
      </c>
      <c r="H24" s="23" t="str">
        <f>IF(G24&lt;&gt;"",VLOOKUP(G24,'ميزان المراجعه'!$C$6:$D$167,2,FALSE),"")</f>
        <v>حساب بنك الCIB</v>
      </c>
      <c r="I24" s="3" t="s">
        <v>193</v>
      </c>
      <c r="J24" s="3"/>
      <c r="K24" s="46" t="str">
        <f>IF(J24&lt;&gt;"",VLOOKUP(J24,الجهات!$B$4:$D$23,2),"")</f>
        <v/>
      </c>
      <c r="L24" s="46" t="str">
        <f>IF(J24&lt;&gt;"",VLOOKUP(J24,الجهات!$B$4:$D$23,3),"")</f>
        <v/>
      </c>
    </row>
    <row r="25" spans="2:12" ht="21">
      <c r="B25" s="45" t="s">
        <v>192</v>
      </c>
      <c r="C25" s="3">
        <v>4</v>
      </c>
      <c r="D25" s="4"/>
      <c r="E25" s="4">
        <v>700</v>
      </c>
      <c r="F25" s="24">
        <f t="shared" si="1"/>
        <v>0</v>
      </c>
      <c r="G25" s="3">
        <v>121004</v>
      </c>
      <c r="H25" s="23" t="str">
        <f>IF(G25&lt;&gt;"",VLOOKUP(G25,'ميزان المراجعه'!$C$6:$D$167,2,FALSE),"")</f>
        <v>حساب بنك الCIB</v>
      </c>
      <c r="I25" s="3" t="s">
        <v>193</v>
      </c>
      <c r="J25" s="3"/>
      <c r="K25" s="46" t="str">
        <f>IF(J25&lt;&gt;"",VLOOKUP(J25,الجهات!$B$4:$D$23,2),"")</f>
        <v/>
      </c>
      <c r="L25" s="46" t="str">
        <f>IF(J25&lt;&gt;"",VLOOKUP(J25,الجهات!$B$4:$D$23,3),"")</f>
        <v/>
      </c>
    </row>
    <row r="26" spans="2:12" ht="21">
      <c r="B26" s="45"/>
      <c r="C26" s="3"/>
      <c r="D26" s="4"/>
      <c r="E26" s="4"/>
      <c r="F26" s="24">
        <f t="shared" si="1"/>
        <v>0</v>
      </c>
      <c r="G26" s="3"/>
      <c r="H26" s="23" t="str">
        <f>IF(G26&lt;&gt;"",VLOOKUP(G26,'ميزان المراجعه'!$C$6:$D$167,2,FALSE),"")</f>
        <v/>
      </c>
      <c r="I26" s="3"/>
      <c r="J26" s="3"/>
      <c r="K26" s="46" t="str">
        <f>IF(J26&lt;&gt;"",VLOOKUP(J26,الجهات!$B$4:$D$23,2),"")</f>
        <v/>
      </c>
      <c r="L26" s="46" t="str">
        <f>IF(J26&lt;&gt;"",VLOOKUP(J26,الجهات!$B$4:$D$23,3),"")</f>
        <v/>
      </c>
    </row>
    <row r="27" spans="2:12" ht="21">
      <c r="B27" s="45" t="s">
        <v>194</v>
      </c>
      <c r="C27" s="3">
        <v>5</v>
      </c>
      <c r="D27" s="4">
        <v>11250</v>
      </c>
      <c r="E27" s="4"/>
      <c r="F27" s="24">
        <f t="shared" ref="F27:F30" si="2">F26+D27-E27</f>
        <v>11250</v>
      </c>
      <c r="G27" s="3">
        <v>124000</v>
      </c>
      <c r="H27" s="23" t="str">
        <f>IF(G27&lt;&gt;"",VLOOKUP(G27,'ميزان المراجعه'!$C$6:$D$167,2,FALSE),"")</f>
        <v>ايجار مقدم</v>
      </c>
      <c r="I27" s="3" t="s">
        <v>195</v>
      </c>
      <c r="J27" s="3"/>
      <c r="K27" s="46"/>
      <c r="L27" s="46"/>
    </row>
    <row r="28" spans="2:12" ht="21">
      <c r="B28" s="45" t="s">
        <v>194</v>
      </c>
      <c r="C28" s="3">
        <v>5</v>
      </c>
      <c r="D28" s="4"/>
      <c r="E28" s="4">
        <v>11250</v>
      </c>
      <c r="F28" s="24">
        <f t="shared" si="2"/>
        <v>0</v>
      </c>
      <c r="G28" s="3">
        <v>121003</v>
      </c>
      <c r="H28" s="23" t="str">
        <f>IF(G28&lt;&gt;"",VLOOKUP(G28,'ميزان المراجعه'!$C$6:$D$167,2,FALSE),"")</f>
        <v>حساب بنك مصر</v>
      </c>
      <c r="I28" s="3" t="s">
        <v>195</v>
      </c>
      <c r="J28" s="3"/>
      <c r="K28" s="46"/>
      <c r="L28" s="46"/>
    </row>
    <row r="29" spans="2:12" ht="21">
      <c r="B29" s="45"/>
      <c r="C29" s="3"/>
      <c r="D29" s="4"/>
      <c r="E29" s="4"/>
      <c r="F29" s="24">
        <f t="shared" si="2"/>
        <v>0</v>
      </c>
      <c r="G29" s="3"/>
      <c r="H29" s="23" t="str">
        <f>IF(G29&lt;&gt;"",VLOOKUP(G29,'ميزان المراجعه'!$C$6:$D$167,2,FALSE),"")</f>
        <v/>
      </c>
      <c r="I29" s="3"/>
      <c r="J29" s="3"/>
      <c r="K29" s="46"/>
      <c r="L29" s="46"/>
    </row>
    <row r="30" spans="2:12" ht="21">
      <c r="B30" s="45"/>
      <c r="C30" s="3"/>
      <c r="D30" s="4"/>
      <c r="E30" s="4"/>
      <c r="F30" s="24">
        <f t="shared" si="2"/>
        <v>0</v>
      </c>
      <c r="G30" s="3"/>
      <c r="H30" s="23" t="str">
        <f>IF(G30&lt;&gt;"",VLOOKUP(G30,'ميزان المراجعه'!$C$6:$D$167,2,FALSE),"")</f>
        <v/>
      </c>
      <c r="I30" s="3"/>
      <c r="J30" s="3"/>
      <c r="K30" s="46"/>
      <c r="L30" s="46"/>
    </row>
    <row r="31" spans="2:12" ht="21">
      <c r="B31" s="45" t="s">
        <v>194</v>
      </c>
      <c r="C31" s="3">
        <v>6</v>
      </c>
      <c r="D31" s="4">
        <v>11250</v>
      </c>
      <c r="E31" s="4"/>
      <c r="F31" s="24">
        <f>F26+D31-E31</f>
        <v>11250</v>
      </c>
      <c r="G31" s="3">
        <v>422001</v>
      </c>
      <c r="H31" s="23" t="str">
        <f>IF(G31&lt;&gt;"",VLOOKUP(G31,'ميزان المراجعه'!$C$6:$D$167,2,FALSE),"")</f>
        <v xml:space="preserve"> مصروف ايجار</v>
      </c>
      <c r="I31" s="3" t="s">
        <v>196</v>
      </c>
      <c r="J31" s="3"/>
      <c r="K31" s="46" t="str">
        <f>IF(J31&lt;&gt;"",VLOOKUP(J31,الجهات!$B$4:$D$23,2),"")</f>
        <v/>
      </c>
      <c r="L31" s="46" t="str">
        <f>IF(J31&lt;&gt;"",VLOOKUP(J31,الجهات!$B$4:$D$23,3),"")</f>
        <v/>
      </c>
    </row>
    <row r="32" spans="2:12" ht="21">
      <c r="B32" s="45" t="s">
        <v>197</v>
      </c>
      <c r="C32" s="3">
        <v>6</v>
      </c>
      <c r="D32" s="4"/>
      <c r="E32" s="4">
        <v>11250</v>
      </c>
      <c r="F32" s="24">
        <f t="shared" si="1"/>
        <v>0</v>
      </c>
      <c r="G32" s="3">
        <v>124000</v>
      </c>
      <c r="H32" s="23" t="str">
        <f>IF(G32&lt;&gt;"",VLOOKUP(G32,'ميزان المراجعه'!$C$6:$D$167,2,FALSE),"")</f>
        <v>ايجار مقدم</v>
      </c>
      <c r="I32" s="3" t="s">
        <v>196</v>
      </c>
      <c r="J32" s="3"/>
      <c r="K32" s="46" t="str">
        <f>IF(J32&lt;&gt;"",VLOOKUP(J32,الجهات!$B$4:$D$23,2),"")</f>
        <v/>
      </c>
      <c r="L32" s="46" t="str">
        <f>IF(J32&lt;&gt;"",VLOOKUP(J32,الجهات!$B$4:$D$23,3),"")</f>
        <v/>
      </c>
    </row>
    <row r="33" spans="2:12" ht="21">
      <c r="B33" s="3"/>
      <c r="C33" s="3"/>
      <c r="D33" s="4"/>
      <c r="E33" s="4"/>
      <c r="F33" s="24">
        <f t="shared" si="1"/>
        <v>0</v>
      </c>
      <c r="G33" s="3"/>
      <c r="H33" s="23" t="str">
        <f>IF(G33&lt;&gt;"",VLOOKUP(G33,'ميزان المراجعه'!$C$6:$D$167,2,FALSE),"")</f>
        <v/>
      </c>
      <c r="I33" s="3"/>
      <c r="J33" s="3"/>
      <c r="K33" s="46" t="str">
        <f>IF(J33&lt;&gt;"",VLOOKUP(J33,الجهات!$B$4:$D$23,2),"")</f>
        <v/>
      </c>
      <c r="L33" s="46" t="str">
        <f>IF(J33&lt;&gt;"",VLOOKUP(J33,الجهات!$B$4:$D$23,3),"")</f>
        <v/>
      </c>
    </row>
    <row r="34" spans="2:12" ht="21">
      <c r="B34" s="45">
        <v>45694</v>
      </c>
      <c r="C34" s="3"/>
      <c r="D34" s="4"/>
      <c r="E34" s="4"/>
      <c r="F34" s="24">
        <f t="shared" si="1"/>
        <v>0</v>
      </c>
      <c r="G34" s="3"/>
      <c r="H34" s="23" t="str">
        <f>IF(G34&lt;&gt;"",VLOOKUP(G34,'ميزان المراجعه'!$C$6:$D$167,2,FALSE),"")</f>
        <v/>
      </c>
      <c r="I34" s="3"/>
      <c r="J34" s="3"/>
      <c r="K34" s="46" t="str">
        <f>IF(J34&lt;&gt;"",VLOOKUP(J34,الجهات!$B$4:$D$23,2),"")</f>
        <v/>
      </c>
      <c r="L34" s="46" t="str">
        <f>IF(J34&lt;&gt;"",VLOOKUP(J34,الجهات!$B$4:$D$23,3),"")</f>
        <v/>
      </c>
    </row>
    <row r="35" spans="2:12" ht="21">
      <c r="B35" s="45">
        <v>45694</v>
      </c>
      <c r="C35" s="3">
        <v>7</v>
      </c>
      <c r="D35" s="4">
        <v>100000</v>
      </c>
      <c r="E35" s="4"/>
      <c r="F35" s="24">
        <f t="shared" si="1"/>
        <v>100000</v>
      </c>
      <c r="G35" s="3">
        <v>111003</v>
      </c>
      <c r="H35" s="23" t="str">
        <f>IF(G35&lt;&gt;"",VLOOKUP(G35,'ميزان المراجعه'!$C$6:$D$167,2,FALSE),"")</f>
        <v>السيارات</v>
      </c>
      <c r="I35" s="3" t="s">
        <v>198</v>
      </c>
      <c r="J35" s="3"/>
      <c r="K35" s="46" t="str">
        <f>IF(J35&lt;&gt;"",VLOOKUP(J35,الجهات!$B$4:$D$23,2),"")</f>
        <v/>
      </c>
      <c r="L35" s="46" t="str">
        <f>IF(J35&lt;&gt;"",VLOOKUP(J35,الجهات!$B$4:$D$23,3),"")</f>
        <v/>
      </c>
    </row>
    <row r="36" spans="2:12" ht="21">
      <c r="B36" s="45">
        <v>45694</v>
      </c>
      <c r="C36" s="3">
        <v>7</v>
      </c>
      <c r="D36" s="4">
        <v>1000</v>
      </c>
      <c r="E36" s="4"/>
      <c r="F36" s="24">
        <f t="shared" si="1"/>
        <v>101000</v>
      </c>
      <c r="G36" s="3">
        <v>431002</v>
      </c>
      <c r="H36" s="23" t="str">
        <f>IF(G36&lt;&gt;"",VLOOKUP(G36,'ميزان المراجعه'!$C$6:$D$167,2,FALSE),"")</f>
        <v>مصاريف بنكيه</v>
      </c>
      <c r="I36" s="3" t="s">
        <v>198</v>
      </c>
      <c r="J36" s="3"/>
      <c r="K36" s="46" t="str">
        <f>IF(J36&lt;&gt;"",VLOOKUP(J36,الجهات!$B$4:$D$23,2),"")</f>
        <v/>
      </c>
      <c r="L36" s="46" t="str">
        <f>IF(J36&lt;&gt;"",VLOOKUP(J36,الجهات!$B$4:$D$23,3),"")</f>
        <v/>
      </c>
    </row>
    <row r="37" spans="2:12" ht="21">
      <c r="B37" s="45">
        <v>45694</v>
      </c>
      <c r="C37" s="3">
        <v>7</v>
      </c>
      <c r="D37" s="4"/>
      <c r="E37" s="4">
        <v>100000</v>
      </c>
      <c r="F37" s="24">
        <f t="shared" si="1"/>
        <v>1000</v>
      </c>
      <c r="G37" s="3">
        <v>121002</v>
      </c>
      <c r="H37" s="23" t="str">
        <f>IF(G37&lt;&gt;"",VLOOKUP(G37,'ميزان المراجعه'!$C$6:$D$167,2,FALSE),"")</f>
        <v>حساب البنك الاهلي</v>
      </c>
      <c r="I37" s="3" t="s">
        <v>198</v>
      </c>
      <c r="J37" s="3"/>
      <c r="K37" s="46" t="str">
        <f>IF(J37&lt;&gt;"",VLOOKUP(J37,الجهات!$B$4:$D$23,2),"")</f>
        <v/>
      </c>
      <c r="L37" s="46" t="str">
        <f>IF(J37&lt;&gt;"",VLOOKUP(J37,الجهات!$B$4:$D$23,3),"")</f>
        <v/>
      </c>
    </row>
    <row r="38" spans="2:12" ht="21">
      <c r="B38" s="3"/>
      <c r="C38" s="3">
        <v>7</v>
      </c>
      <c r="D38" s="4"/>
      <c r="E38" s="4">
        <v>1000</v>
      </c>
      <c r="F38" s="24">
        <f t="shared" si="1"/>
        <v>0</v>
      </c>
      <c r="G38" s="3">
        <v>121002</v>
      </c>
      <c r="H38" s="23" t="str">
        <f>IF(G38&lt;&gt;"",VLOOKUP(G38,'ميزان المراجعه'!$C$6:$D$167,2,FALSE),"")</f>
        <v>حساب البنك الاهلي</v>
      </c>
      <c r="I38" s="3" t="s">
        <v>198</v>
      </c>
      <c r="J38" s="3"/>
      <c r="K38" s="46" t="str">
        <f>IF(J38&lt;&gt;"",VLOOKUP(J38,الجهات!$B$4:$D$23,2),"")</f>
        <v/>
      </c>
      <c r="L38" s="46" t="str">
        <f>IF(J38&lt;&gt;"",VLOOKUP(J38,الجهات!$B$4:$D$23,3),"")</f>
        <v/>
      </c>
    </row>
    <row r="39" spans="2:12" ht="21">
      <c r="B39" s="45"/>
      <c r="C39" s="3"/>
      <c r="D39" s="4"/>
      <c r="E39" s="4"/>
      <c r="F39" s="24">
        <f t="shared" si="1"/>
        <v>0</v>
      </c>
      <c r="G39" s="3"/>
      <c r="H39" s="23" t="str">
        <f>IF(G39&lt;&gt;"",VLOOKUP(G39,'ميزان المراجعه'!$C$6:$D$167,2,FALSE),"")</f>
        <v/>
      </c>
      <c r="I39" s="3"/>
      <c r="J39" s="3"/>
      <c r="K39" s="46" t="str">
        <f>IF(J39&lt;&gt;"",VLOOKUP(J39,الجهات!$B$4:$D$23,2),"")</f>
        <v/>
      </c>
      <c r="L39" s="46" t="str">
        <f>IF(J39&lt;&gt;"",VLOOKUP(J39,الجهات!$B$4:$D$23,3),"")</f>
        <v/>
      </c>
    </row>
    <row r="40" spans="2:12" ht="21">
      <c r="B40" s="45">
        <v>45697</v>
      </c>
      <c r="C40" s="3">
        <v>8</v>
      </c>
      <c r="D40" s="4">
        <v>50000</v>
      </c>
      <c r="E40" s="4"/>
      <c r="F40" s="24">
        <f t="shared" si="1"/>
        <v>50000</v>
      </c>
      <c r="G40" s="3">
        <v>111004</v>
      </c>
      <c r="H40" s="23" t="str">
        <f>IF(G40&lt;&gt;"",VLOOKUP(G40,'ميزان المراجعه'!$C$6:$D$167,2,FALSE),"")</f>
        <v>اجهزه الحاسب</v>
      </c>
      <c r="I40" s="3" t="s">
        <v>199</v>
      </c>
      <c r="J40" s="3"/>
      <c r="K40" s="46" t="str">
        <f>IF(J40&lt;&gt;"",VLOOKUP(J40,الجهات!$B$4:$D$23,2),"")</f>
        <v/>
      </c>
      <c r="L40" s="46" t="str">
        <f>IF(J40&lt;&gt;"",VLOOKUP(J40,الجهات!$B$4:$D$23,3),"")</f>
        <v/>
      </c>
    </row>
    <row r="41" spans="2:12" ht="21">
      <c r="B41" s="45">
        <v>45697</v>
      </c>
      <c r="C41" s="3">
        <v>8</v>
      </c>
      <c r="D41" s="4">
        <v>500</v>
      </c>
      <c r="E41" s="4"/>
      <c r="F41" s="24">
        <f t="shared" si="1"/>
        <v>50500</v>
      </c>
      <c r="G41" s="3">
        <v>431002</v>
      </c>
      <c r="H41" s="23" t="str">
        <f>IF(G41&lt;&gt;"",VLOOKUP(G41,'ميزان المراجعه'!$C$6:$D$167,2,FALSE),"")</f>
        <v>مصاريف بنكيه</v>
      </c>
      <c r="I41" s="3" t="s">
        <v>199</v>
      </c>
      <c r="J41" s="3"/>
      <c r="K41" s="46" t="str">
        <f>IF(J41&lt;&gt;"",VLOOKUP(J41,الجهات!$B$4:$D$23,2),"")</f>
        <v/>
      </c>
      <c r="L41" s="46" t="str">
        <f>IF(J41&lt;&gt;"",VLOOKUP(J41,الجهات!$B$4:$D$23,3),"")</f>
        <v/>
      </c>
    </row>
    <row r="42" spans="2:12" ht="21">
      <c r="B42" s="45">
        <v>45697</v>
      </c>
      <c r="C42" s="3">
        <v>8</v>
      </c>
      <c r="D42" s="4"/>
      <c r="E42" s="4">
        <v>50000</v>
      </c>
      <c r="F42" s="24">
        <f t="shared" si="1"/>
        <v>500</v>
      </c>
      <c r="G42" s="3">
        <v>121002</v>
      </c>
      <c r="H42" s="23" t="str">
        <f>IF(G42&lt;&gt;"",VLOOKUP(G42,'ميزان المراجعه'!$C$6:$D$167,2,FALSE),"")</f>
        <v>حساب البنك الاهلي</v>
      </c>
      <c r="I42" s="3" t="s">
        <v>199</v>
      </c>
      <c r="J42" s="3"/>
      <c r="K42" s="46" t="str">
        <f>IF(J42&lt;&gt;"",VLOOKUP(J42,الجهات!$B$4:$D$23,2),"")</f>
        <v/>
      </c>
      <c r="L42" s="46" t="str">
        <f>IF(J42&lt;&gt;"",VLOOKUP(J42,الجهات!$B$4:$D$23,3),"")</f>
        <v/>
      </c>
    </row>
    <row r="43" spans="2:12" ht="21">
      <c r="B43" s="45">
        <v>45697</v>
      </c>
      <c r="C43" s="3">
        <v>8</v>
      </c>
      <c r="D43" s="4"/>
      <c r="E43" s="4">
        <v>500</v>
      </c>
      <c r="F43" s="24">
        <f t="shared" si="1"/>
        <v>0</v>
      </c>
      <c r="G43" s="3">
        <v>121002</v>
      </c>
      <c r="H43" s="23" t="str">
        <f>IF(G43&lt;&gt;"",VLOOKUP(G43,'ميزان المراجعه'!$C$6:$D$167,2,FALSE),"")</f>
        <v>حساب البنك الاهلي</v>
      </c>
      <c r="I43" s="3" t="s">
        <v>199</v>
      </c>
      <c r="J43" s="3"/>
      <c r="K43" s="46" t="str">
        <f>IF(J43&lt;&gt;"",VLOOKUP(J43,الجهات!$B$4:$D$23,2),"")</f>
        <v/>
      </c>
      <c r="L43" s="46" t="str">
        <f>IF(J43&lt;&gt;"",VLOOKUP(J43,الجهات!$B$4:$D$23,3),"")</f>
        <v/>
      </c>
    </row>
    <row r="44" spans="2:12" ht="21">
      <c r="B44" s="3"/>
      <c r="C44" s="3"/>
      <c r="D44" s="4"/>
      <c r="E44" s="4"/>
      <c r="F44" s="24">
        <f t="shared" si="1"/>
        <v>0</v>
      </c>
      <c r="G44" s="3"/>
      <c r="H44" s="23" t="str">
        <f>IF(G44&lt;&gt;"",VLOOKUP(G44,'ميزان المراجعه'!$C$6:$D$167,2,FALSE),"")</f>
        <v/>
      </c>
      <c r="I44" s="3"/>
      <c r="J44" s="3"/>
      <c r="K44" s="46" t="str">
        <f>IF(J44&lt;&gt;"",VLOOKUP(J44,الجهات!$B$4:$D$23,2),"")</f>
        <v/>
      </c>
      <c r="L44" s="46" t="str">
        <f>IF(J44&lt;&gt;"",VLOOKUP(J44,الجهات!$B$4:$D$23,3),"")</f>
        <v/>
      </c>
    </row>
    <row r="45" spans="2:12" ht="21">
      <c r="B45" s="45">
        <v>45697</v>
      </c>
      <c r="C45" s="3">
        <v>9</v>
      </c>
      <c r="D45" s="4">
        <v>75000</v>
      </c>
      <c r="E45" s="4"/>
      <c r="F45" s="24">
        <f t="shared" si="1"/>
        <v>75000</v>
      </c>
      <c r="G45" s="3">
        <v>111002</v>
      </c>
      <c r="H45" s="23" t="str">
        <f>IF(G45&lt;&gt;"",VLOOKUP(G45,'ميزان المراجعه'!$C$6:$D$167,2,FALSE),"")</f>
        <v>الاثاث والمعدات</v>
      </c>
      <c r="I45" s="3" t="s">
        <v>200</v>
      </c>
      <c r="J45" s="3"/>
      <c r="K45" s="46" t="str">
        <f>IF(J45&lt;&gt;"",VLOOKUP(J45,الجهات!$B$4:$D$23,2),"")</f>
        <v/>
      </c>
      <c r="L45" s="46" t="str">
        <f>IF(J45&lt;&gt;"",VLOOKUP(J45,الجهات!$B$4:$D$23,3),"")</f>
        <v/>
      </c>
    </row>
    <row r="46" spans="2:12" ht="21">
      <c r="B46" s="45">
        <v>45697</v>
      </c>
      <c r="C46" s="3">
        <v>9</v>
      </c>
      <c r="D46" s="4">
        <v>700</v>
      </c>
      <c r="E46" s="4"/>
      <c r="F46" s="24">
        <f t="shared" si="1"/>
        <v>75700</v>
      </c>
      <c r="G46" s="3">
        <v>431002</v>
      </c>
      <c r="H46" s="23" t="str">
        <f>IF(G46&lt;&gt;"",VLOOKUP(G46,'ميزان المراجعه'!$C$6:$D$167,2,FALSE),"")</f>
        <v>مصاريف بنكيه</v>
      </c>
      <c r="I46" s="3" t="s">
        <v>200</v>
      </c>
      <c r="J46" s="3"/>
      <c r="K46" s="46" t="str">
        <f>IF(J46&lt;&gt;"",VLOOKUP(J46,الجهات!$B$4:$D$23,2),"")</f>
        <v/>
      </c>
      <c r="L46" s="46" t="str">
        <f>IF(J46&lt;&gt;"",VLOOKUP(J46,الجهات!$B$4:$D$23,3),"")</f>
        <v/>
      </c>
    </row>
    <row r="47" spans="2:12" ht="21">
      <c r="B47" s="45">
        <v>45697</v>
      </c>
      <c r="C47" s="3">
        <v>9</v>
      </c>
      <c r="D47" s="4"/>
      <c r="E47" s="4">
        <v>75000</v>
      </c>
      <c r="F47" s="24">
        <f t="shared" si="1"/>
        <v>700</v>
      </c>
      <c r="G47" s="3">
        <v>121002</v>
      </c>
      <c r="H47" s="23" t="str">
        <f>IF(G47&lt;&gt;"",VLOOKUP(G47,'ميزان المراجعه'!$C$6:$D$167,2,FALSE),"")</f>
        <v>حساب البنك الاهلي</v>
      </c>
      <c r="I47" s="3" t="s">
        <v>200</v>
      </c>
      <c r="J47" s="3"/>
      <c r="K47" s="46" t="str">
        <f>IF(J47&lt;&gt;"",VLOOKUP(J47,الجهات!$B$4:$D$23,2),"")</f>
        <v/>
      </c>
      <c r="L47" s="46" t="str">
        <f>IF(J47&lt;&gt;"",VLOOKUP(J47,الجهات!$B$4:$D$23,3),"")</f>
        <v/>
      </c>
    </row>
    <row r="48" spans="2:12" ht="21">
      <c r="B48" s="45">
        <v>45697</v>
      </c>
      <c r="C48" s="3">
        <v>9</v>
      </c>
      <c r="D48" s="4"/>
      <c r="E48" s="4">
        <v>700</v>
      </c>
      <c r="F48" s="24">
        <f t="shared" si="1"/>
        <v>0</v>
      </c>
      <c r="G48" s="3">
        <v>121002</v>
      </c>
      <c r="H48" s="23" t="str">
        <f>IF(G48&lt;&gt;"",VLOOKUP(G48,'ميزان المراجعه'!$C$6:$D$167,2,FALSE),"")</f>
        <v>حساب البنك الاهلي</v>
      </c>
      <c r="I48" s="3" t="s">
        <v>200</v>
      </c>
      <c r="J48" s="3"/>
      <c r="K48" s="46" t="str">
        <f>IF(J48&lt;&gt;"",VLOOKUP(J48,الجهات!$B$4:$D$23,2),"")</f>
        <v/>
      </c>
      <c r="L48" s="46" t="str">
        <f>IF(J48&lt;&gt;"",VLOOKUP(J48,الجهات!$B$4:$D$23,3),"")</f>
        <v/>
      </c>
    </row>
    <row r="49" spans="2:12" ht="21">
      <c r="B49" s="3"/>
      <c r="C49" s="3"/>
      <c r="D49" s="4"/>
      <c r="E49" s="4"/>
      <c r="F49" s="24">
        <f t="shared" si="1"/>
        <v>0</v>
      </c>
      <c r="G49" s="3"/>
      <c r="H49" s="23" t="str">
        <f>IF(G49&lt;&gt;"",VLOOKUP(G49,'ميزان المراجعه'!$C$6:$D$167,2,FALSE),"")</f>
        <v/>
      </c>
      <c r="I49" s="3"/>
      <c r="J49" s="3"/>
      <c r="K49" s="46" t="str">
        <f>IF(J49&lt;&gt;"",VLOOKUP(J49,الجهات!$B$4:$D$23,2),"")</f>
        <v/>
      </c>
      <c r="L49" s="46" t="str">
        <f>IF(J49&lt;&gt;"",VLOOKUP(J49,الجهات!$B$4:$D$23,3),"")</f>
        <v/>
      </c>
    </row>
    <row r="50" spans="2:12" ht="21">
      <c r="B50" s="3"/>
      <c r="C50" s="3"/>
      <c r="D50" s="4"/>
      <c r="E50" s="4"/>
      <c r="F50" s="24">
        <f t="shared" si="1"/>
        <v>0</v>
      </c>
      <c r="G50" s="3"/>
      <c r="H50" s="23" t="str">
        <f>IF(G50&lt;&gt;"",VLOOKUP(G50,'ميزان المراجعه'!$C$6:$D$167,2,FALSE),"")</f>
        <v/>
      </c>
      <c r="I50" s="3"/>
      <c r="J50" s="3"/>
      <c r="K50" s="46" t="str">
        <f>IF(J50&lt;&gt;"",VLOOKUP(J50,الجهات!$B$4:$D$23,2),"")</f>
        <v/>
      </c>
      <c r="L50" s="46" t="str">
        <f>IF(J50&lt;&gt;"",VLOOKUP(J50,الجهات!$B$4:$D$23,3),"")</f>
        <v/>
      </c>
    </row>
    <row r="51" spans="2:12" ht="21">
      <c r="B51" s="3" t="s">
        <v>201</v>
      </c>
      <c r="C51" s="3">
        <v>13</v>
      </c>
      <c r="D51" s="4">
        <v>5000</v>
      </c>
      <c r="E51" s="4"/>
      <c r="F51" s="24">
        <f t="shared" si="1"/>
        <v>5000</v>
      </c>
      <c r="G51" s="3">
        <v>125001</v>
      </c>
      <c r="H51" s="23" t="str">
        <f>IF(G51&lt;&gt;"",VLOOKUP(G51,'ميزان المراجعه'!$C$6:$D$167,2,FALSE),"")</f>
        <v>السلف المؤقته</v>
      </c>
      <c r="I51" s="3" t="s">
        <v>202</v>
      </c>
      <c r="J51" s="3">
        <v>3001</v>
      </c>
      <c r="K51" s="47" t="str">
        <f>IF(J51&lt;&gt;"",VLOOKUP(J51,الجهات!$B$4:$D$23,2),"")</f>
        <v>احمد علي</v>
      </c>
      <c r="L51" s="47" t="str">
        <f>IF(J51&lt;&gt;"",VLOOKUP(J51,الجهات!$B$4:$D$23,3),"")</f>
        <v>موظف</v>
      </c>
    </row>
    <row r="52" spans="2:12" ht="21">
      <c r="B52" s="3" t="s">
        <v>201</v>
      </c>
      <c r="C52" s="3">
        <v>13</v>
      </c>
      <c r="D52" s="4"/>
      <c r="E52" s="4">
        <v>5000</v>
      </c>
      <c r="F52" s="24">
        <f t="shared" si="1"/>
        <v>0</v>
      </c>
      <c r="G52" s="3">
        <v>121002</v>
      </c>
      <c r="H52" s="23" t="str">
        <f>IF(G52&lt;&gt;"",VLOOKUP(G52,'ميزان المراجعه'!$C$6:$D$167,2,FALSE),"")</f>
        <v>حساب البنك الاهلي</v>
      </c>
      <c r="I52" s="3" t="s">
        <v>202</v>
      </c>
      <c r="J52" s="3"/>
      <c r="K52" s="47" t="str">
        <f>IF(J52&lt;&gt;"",VLOOKUP(J52,الجهات!$B$4:$D$23,2),"")</f>
        <v/>
      </c>
      <c r="L52" s="47" t="str">
        <f>IF(J52&lt;&gt;"",VLOOKUP(J52,الجهات!$B$4:$D$23,3),"")</f>
        <v/>
      </c>
    </row>
    <row r="53" spans="2:12" ht="21">
      <c r="B53" s="3"/>
      <c r="C53" s="3"/>
      <c r="D53" s="4"/>
      <c r="E53" s="4"/>
      <c r="F53" s="24">
        <f t="shared" si="1"/>
        <v>0</v>
      </c>
      <c r="G53" s="3"/>
      <c r="H53" s="23" t="str">
        <f>IF(G53&lt;&gt;"",VLOOKUP(G53,'ميزان المراجعه'!$C$6:$D$167,2,FALSE),"")</f>
        <v/>
      </c>
      <c r="I53" s="3"/>
      <c r="J53" s="3"/>
      <c r="K53" s="47" t="str">
        <f>IF(J53&lt;&gt;"",VLOOKUP(J53,الجهات!$B$4:$D$23,2),"")</f>
        <v/>
      </c>
      <c r="L53" s="47" t="str">
        <f>IF(J53&lt;&gt;"",VLOOKUP(J53,الجهات!$B$4:$D$23,3),"")</f>
        <v/>
      </c>
    </row>
    <row r="54" spans="2:12" ht="21">
      <c r="B54" s="3" t="s">
        <v>203</v>
      </c>
      <c r="C54" s="3">
        <v>14</v>
      </c>
      <c r="D54" s="4">
        <v>1000</v>
      </c>
      <c r="E54" s="4"/>
      <c r="F54" s="24">
        <f t="shared" si="1"/>
        <v>1000</v>
      </c>
      <c r="G54" s="3">
        <v>121002</v>
      </c>
      <c r="H54" s="23" t="str">
        <f>IF(G54&lt;&gt;"",VLOOKUP(G54,'ميزان المراجعه'!$C$6:$D$167,2,FALSE),"")</f>
        <v>حساب البنك الاهلي</v>
      </c>
      <c r="I54" s="3" t="s">
        <v>204</v>
      </c>
      <c r="J54" s="3"/>
      <c r="K54" s="47" t="str">
        <f>IF(J54&lt;&gt;"",VLOOKUP(J54,الجهات!$B$4:$D$23,2),"")</f>
        <v/>
      </c>
      <c r="L54" s="47" t="str">
        <f>IF(J54&lt;&gt;"",VLOOKUP(J54,الجهات!$B$4:$D$23,3),"")</f>
        <v/>
      </c>
    </row>
    <row r="55" spans="2:12" ht="21">
      <c r="B55" s="3" t="s">
        <v>203</v>
      </c>
      <c r="C55" s="3">
        <v>14</v>
      </c>
      <c r="D55" s="4"/>
      <c r="E55" s="4">
        <v>1000</v>
      </c>
      <c r="F55" s="24">
        <f t="shared" si="1"/>
        <v>0</v>
      </c>
      <c r="G55" s="3">
        <v>125001</v>
      </c>
      <c r="H55" s="23" t="str">
        <f>IF(G55&lt;&gt;"",VLOOKUP(G55,'ميزان المراجعه'!$C$6:$D$167,2,FALSE),"")</f>
        <v>السلف المؤقته</v>
      </c>
      <c r="I55" s="3" t="s">
        <v>204</v>
      </c>
      <c r="J55" s="3">
        <v>3001</v>
      </c>
      <c r="K55" s="47" t="str">
        <f>IF(J55&lt;&gt;"",VLOOKUP(J55,الجهات!$B$4:$D$23,2),"")</f>
        <v>احمد علي</v>
      </c>
      <c r="L55" s="47" t="str">
        <f>IF(J55&lt;&gt;"",VLOOKUP(J55,الجهات!$B$4:$D$23,3),"")</f>
        <v>موظف</v>
      </c>
    </row>
    <row r="56" spans="2:12" ht="21">
      <c r="B56" s="3"/>
      <c r="C56" s="3"/>
      <c r="D56" s="4"/>
      <c r="E56" s="4"/>
      <c r="F56" s="24">
        <f t="shared" si="1"/>
        <v>0</v>
      </c>
      <c r="G56" s="3"/>
      <c r="H56" s="23" t="str">
        <f>IF(G56&lt;&gt;"",VLOOKUP(G56,'ميزان المراجعه'!$C$6:$D$167,2,FALSE),"")</f>
        <v/>
      </c>
      <c r="I56" s="3"/>
      <c r="J56" s="3"/>
      <c r="K56" s="47" t="str">
        <f>IF(J56&lt;&gt;"",VLOOKUP(J56,الجهات!$B$4:$D$23,2),"")</f>
        <v/>
      </c>
      <c r="L56" s="47" t="str">
        <f>IF(J56&lt;&gt;"",VLOOKUP(J56,الجهات!$B$4:$D$23,3),"")</f>
        <v/>
      </c>
    </row>
    <row r="57" spans="2:12" ht="21">
      <c r="B57" s="3" t="s">
        <v>205</v>
      </c>
      <c r="C57" s="3">
        <v>15</v>
      </c>
      <c r="D57" s="4">
        <v>20000</v>
      </c>
      <c r="E57" s="4"/>
      <c r="F57" s="24">
        <f t="shared" si="1"/>
        <v>20000</v>
      </c>
      <c r="G57" s="3">
        <v>422000</v>
      </c>
      <c r="H57" s="23" t="str">
        <f>IF(G57&lt;&gt;"",VLOOKUP(G57,'ميزان المراجعه'!$C$6:$D$167,2,FALSE),"")</f>
        <v>رواتب الموظفين</v>
      </c>
      <c r="I57" s="3" t="s">
        <v>206</v>
      </c>
      <c r="J57" s="3"/>
      <c r="K57" s="47" t="str">
        <f>IF(J57&lt;&gt;"",VLOOKUP(J57,الجهات!$B$4:$D$23,2),"")</f>
        <v/>
      </c>
      <c r="L57" s="47" t="str">
        <f>IF(J57&lt;&gt;"",VLOOKUP(J57,الجهات!$B$4:$D$23,3),"")</f>
        <v/>
      </c>
    </row>
    <row r="58" spans="2:12" ht="21">
      <c r="B58" s="3" t="s">
        <v>207</v>
      </c>
      <c r="C58" s="3">
        <v>15</v>
      </c>
      <c r="D58" s="4"/>
      <c r="E58" s="4">
        <v>20000</v>
      </c>
      <c r="F58" s="24">
        <f t="shared" si="1"/>
        <v>0</v>
      </c>
      <c r="G58" s="3">
        <v>232000</v>
      </c>
      <c r="H58" s="23" t="str">
        <f>IF(G58&lt;&gt;"",VLOOKUP(G58,'ميزان المراجعه'!$C$6:$D$167,2,FALSE),"")</f>
        <v>اجور ورواتب مستحقه</v>
      </c>
      <c r="I58" s="3" t="s">
        <v>206</v>
      </c>
      <c r="J58" s="3"/>
      <c r="K58" s="47" t="str">
        <f>IF(J58&lt;&gt;"",VLOOKUP(J58,الجهات!$B$4:$D$23,2),"")</f>
        <v/>
      </c>
      <c r="L58" s="47" t="str">
        <f>IF(J58&lt;&gt;"",VLOOKUP(J58,الجهات!$B$4:$D$23,3),"")</f>
        <v/>
      </c>
    </row>
    <row r="59" spans="2:12" ht="21">
      <c r="B59" s="3"/>
      <c r="C59" s="3"/>
      <c r="D59" s="4"/>
      <c r="E59" s="4"/>
      <c r="F59" s="24">
        <f t="shared" si="1"/>
        <v>0</v>
      </c>
      <c r="G59" s="3"/>
      <c r="H59" s="23" t="str">
        <f>IF(G59&lt;&gt;"",VLOOKUP(G59,'ميزان المراجعه'!$C$6:$D$167,2,FALSE),"")</f>
        <v/>
      </c>
      <c r="I59" s="3"/>
      <c r="J59" s="3"/>
      <c r="K59" s="47" t="str">
        <f>IF(J59&lt;&gt;"",VLOOKUP(J59,الجهات!$B$4:$D$23,2),"")</f>
        <v/>
      </c>
      <c r="L59" s="47" t="str">
        <f>IF(J59&lt;&gt;"",VLOOKUP(J59,الجهات!$B$4:$D$23,3),"")</f>
        <v/>
      </c>
    </row>
    <row r="60" spans="2:12" ht="21">
      <c r="B60" s="45">
        <v>45789</v>
      </c>
      <c r="C60" s="3">
        <v>16</v>
      </c>
      <c r="D60" s="4">
        <v>20000</v>
      </c>
      <c r="E60" s="4"/>
      <c r="F60" s="24">
        <f t="shared" si="1"/>
        <v>20000</v>
      </c>
      <c r="G60" s="3">
        <v>232000</v>
      </c>
      <c r="H60" s="23" t="str">
        <f>IF(G60&lt;&gt;"",VLOOKUP(G60,'ميزان المراجعه'!$C$6:$D$167,2,FALSE),"")</f>
        <v>اجور ورواتب مستحقه</v>
      </c>
      <c r="I60" s="3" t="s">
        <v>208</v>
      </c>
      <c r="J60" s="3"/>
      <c r="K60" s="47" t="str">
        <f>IF(J60&lt;&gt;"",VLOOKUP(J60,الجهات!$B$4:$D$23,2),"")</f>
        <v/>
      </c>
      <c r="L60" s="47" t="str">
        <f>IF(J60&lt;&gt;"",VLOOKUP(J60,الجهات!$B$4:$D$23,3),"")</f>
        <v/>
      </c>
    </row>
    <row r="61" spans="2:12" ht="21">
      <c r="B61" s="45">
        <v>45789</v>
      </c>
      <c r="C61" s="3">
        <v>16</v>
      </c>
      <c r="D61" s="4"/>
      <c r="E61" s="4">
        <v>20000</v>
      </c>
      <c r="F61" s="24">
        <f t="shared" si="1"/>
        <v>0</v>
      </c>
      <c r="G61" s="3">
        <v>121004</v>
      </c>
      <c r="H61" s="23" t="str">
        <f>IF(G61&lt;&gt;"",VLOOKUP(G61,'ميزان المراجعه'!$C$6:$D$167,2,FALSE),"")</f>
        <v>حساب بنك الCIB</v>
      </c>
      <c r="I61" s="3" t="s">
        <v>208</v>
      </c>
      <c r="J61" s="3"/>
      <c r="K61" s="47" t="str">
        <f>IF(J61&lt;&gt;"",VLOOKUP(J61,الجهات!$B$4:$D$23,2),"")</f>
        <v/>
      </c>
      <c r="L61" s="47" t="str">
        <f>IF(J61&lt;&gt;"",VLOOKUP(J61,الجهات!$B$4:$D$23,3),"")</f>
        <v/>
      </c>
    </row>
    <row r="62" spans="2:12" ht="21">
      <c r="B62" s="3"/>
      <c r="C62" s="3"/>
      <c r="D62" s="4"/>
      <c r="E62" s="4"/>
      <c r="F62" s="24">
        <f t="shared" si="1"/>
        <v>0</v>
      </c>
      <c r="G62" s="3"/>
      <c r="H62" s="23" t="str">
        <f>IF(G62&lt;&gt;"",VLOOKUP(G62,'ميزان المراجعه'!$C$6:$D$167,2,FALSE),"")</f>
        <v/>
      </c>
      <c r="I62" s="3"/>
      <c r="J62" s="3"/>
      <c r="K62" s="47" t="str">
        <f>IF(J62&lt;&gt;"",VLOOKUP(J62,الجهات!$B$4:$D$23,2),"")</f>
        <v/>
      </c>
      <c r="L62" s="47" t="str">
        <f>IF(J62&lt;&gt;"",VLOOKUP(J62,الجهات!$B$4:$D$23,3),"")</f>
        <v/>
      </c>
    </row>
    <row r="63" spans="2:12" ht="21">
      <c r="B63" s="45">
        <v>45820</v>
      </c>
      <c r="C63" s="3">
        <v>17</v>
      </c>
      <c r="D63" s="4">
        <v>330000</v>
      </c>
      <c r="E63" s="4"/>
      <c r="F63" s="24">
        <f t="shared" si="1"/>
        <v>330000</v>
      </c>
      <c r="G63" s="3">
        <v>122000</v>
      </c>
      <c r="H63" s="23" t="str">
        <f>IF(G63&lt;&gt;"",VLOOKUP(G63,'ميزان المراجعه'!$C$6:$D$167,2,FALSE),"")</f>
        <v>العملاء المحليون</v>
      </c>
      <c r="I63" s="3" t="s">
        <v>209</v>
      </c>
      <c r="J63" s="3">
        <v>2002</v>
      </c>
      <c r="K63" s="47" t="str">
        <f>IF(J63&lt;&gt;"",VLOOKUP(J63,الجهات!$B$4:$D$23,2),"")</f>
        <v>عميل 2</v>
      </c>
      <c r="L63" s="47" t="str">
        <f>IF(J63&lt;&gt;"",VLOOKUP(J63,الجهات!$B$4:$D$23,3),"")</f>
        <v>عميل</v>
      </c>
    </row>
    <row r="64" spans="2:12" ht="21">
      <c r="B64" s="45">
        <v>45820</v>
      </c>
      <c r="C64" s="3">
        <v>17</v>
      </c>
      <c r="D64" s="4"/>
      <c r="E64" s="4">
        <v>300000</v>
      </c>
      <c r="F64" s="24">
        <f t="shared" si="1"/>
        <v>30000</v>
      </c>
      <c r="G64" s="3">
        <v>311000</v>
      </c>
      <c r="H64" s="23" t="str">
        <f>IF(G64&lt;&gt;"",VLOOKUP(G64,'ميزان المراجعه'!$C$6:$D$167,2,FALSE),"")</f>
        <v>مبيعات جمله</v>
      </c>
      <c r="I64" s="3" t="s">
        <v>209</v>
      </c>
      <c r="J64" s="3"/>
      <c r="K64" s="47" t="str">
        <f>IF(J64&lt;&gt;"",VLOOKUP(J64,الجهات!$B$4:$D$23,2),"")</f>
        <v/>
      </c>
      <c r="L64" s="47" t="str">
        <f>IF(J64&lt;&gt;"",VLOOKUP(J64,الجهات!$B$4:$D$23,3),"")</f>
        <v/>
      </c>
    </row>
    <row r="65" spans="2:12" ht="21">
      <c r="B65" s="45">
        <v>45820</v>
      </c>
      <c r="C65" s="3">
        <v>17</v>
      </c>
      <c r="D65" s="4"/>
      <c r="E65" s="4">
        <v>30000</v>
      </c>
      <c r="F65" s="24">
        <f t="shared" si="1"/>
        <v>0</v>
      </c>
      <c r="G65" s="3">
        <v>233001</v>
      </c>
      <c r="H65" s="23" t="str">
        <f>IF(G65&lt;&gt;"",VLOOKUP(G65,'ميزان المراجعه'!$C$6:$D$167,2,FALSE),"")</f>
        <v>ضرائب مبيعات/قيمه مضافه</v>
      </c>
      <c r="I65" s="3" t="s">
        <v>209</v>
      </c>
      <c r="J65" s="3"/>
      <c r="K65" s="47" t="str">
        <f>IF(J65&lt;&gt;"",VLOOKUP(J65,الجهات!$B$4:$D$23,2),"")</f>
        <v/>
      </c>
      <c r="L65" s="47" t="str">
        <f>IF(J65&lt;&gt;"",VLOOKUP(J65,الجهات!$B$4:$D$23,3),"")</f>
        <v/>
      </c>
    </row>
    <row r="66" spans="2:12" ht="21">
      <c r="B66" s="3"/>
      <c r="C66" s="3"/>
      <c r="D66" s="4"/>
      <c r="E66" s="4"/>
      <c r="F66" s="24">
        <f t="shared" si="1"/>
        <v>0</v>
      </c>
      <c r="G66" s="3"/>
      <c r="H66" s="23" t="str">
        <f>IF(G66&lt;&gt;"",VLOOKUP(G66,'ميزان المراجعه'!$C$6:$D$167,2,FALSE),"")</f>
        <v/>
      </c>
      <c r="I66" s="3"/>
      <c r="J66" s="3"/>
      <c r="K66" s="47" t="str">
        <f>IF(J66&lt;&gt;"",VLOOKUP(J66,الجهات!$B$4:$D$23,2),"")</f>
        <v/>
      </c>
      <c r="L66" s="47" t="str">
        <f>IF(J66&lt;&gt;"",VLOOKUP(J66,الجهات!$B$4:$D$23,3),"")</f>
        <v/>
      </c>
    </row>
    <row r="67" spans="2:12" ht="21">
      <c r="B67" s="45">
        <v>45881</v>
      </c>
      <c r="C67" s="3">
        <v>18</v>
      </c>
      <c r="D67" s="4">
        <v>150000</v>
      </c>
      <c r="E67" s="4"/>
      <c r="F67" s="24">
        <f t="shared" si="1"/>
        <v>150000</v>
      </c>
      <c r="G67" s="3">
        <v>411000</v>
      </c>
      <c r="H67" s="23" t="str">
        <f>IF(G67&lt;&gt;"",VLOOKUP(G67,'ميزان المراجعه'!$C$6:$D$167,2,FALSE),"")</f>
        <v>مشتريات محليه</v>
      </c>
      <c r="I67" s="3" t="s">
        <v>210</v>
      </c>
      <c r="J67" s="3"/>
      <c r="K67" s="47" t="str">
        <f>IF(J67&lt;&gt;"",VLOOKUP(J67,الجهات!$B$4:$D$23,2),"")</f>
        <v/>
      </c>
      <c r="L67" s="47" t="str">
        <f>IF(J67&lt;&gt;"",VLOOKUP(J67,الجهات!$B$4:$D$23,3),"")</f>
        <v/>
      </c>
    </row>
    <row r="68" spans="2:12" ht="21">
      <c r="B68" s="45">
        <v>45881</v>
      </c>
      <c r="C68" s="3">
        <v>18</v>
      </c>
      <c r="D68" s="4">
        <v>15000</v>
      </c>
      <c r="E68" s="4"/>
      <c r="F68" s="24">
        <f t="shared" si="1"/>
        <v>165000</v>
      </c>
      <c r="G68" s="3">
        <v>125000</v>
      </c>
      <c r="H68" s="23" t="str">
        <f>IF(G68&lt;&gt;"",VLOOKUP(G68,'ميزان المراجعه'!$C$6:$D$167,2,FALSE),"")</f>
        <v>ضريبه القيمه المضافه للمدخلات</v>
      </c>
      <c r="I68" s="3" t="s">
        <v>210</v>
      </c>
      <c r="J68" s="3"/>
      <c r="K68" s="47" t="str">
        <f>IF(J68&lt;&gt;"",VLOOKUP(J68,الجهات!$B$4:$D$23,2),"")</f>
        <v/>
      </c>
      <c r="L68" s="47" t="str">
        <f>IF(J68&lt;&gt;"",VLOOKUP(J68,الجهات!$B$4:$D$23,3),"")</f>
        <v/>
      </c>
    </row>
    <row r="69" spans="2:12" ht="21">
      <c r="B69" s="45">
        <v>45881</v>
      </c>
      <c r="C69" s="3">
        <v>18</v>
      </c>
      <c r="D69" s="4"/>
      <c r="E69" s="4">
        <v>165000</v>
      </c>
      <c r="F69" s="24">
        <f t="shared" si="1"/>
        <v>0</v>
      </c>
      <c r="G69" s="3">
        <v>231000</v>
      </c>
      <c r="H69" s="23" t="str">
        <f>IF(G69&lt;&gt;"",VLOOKUP(G69,'ميزان المراجعه'!$C$6:$D$167,2,FALSE),"")</f>
        <v>موردون محليون</v>
      </c>
      <c r="I69" s="3" t="s">
        <v>210</v>
      </c>
      <c r="J69" s="3">
        <v>1001</v>
      </c>
      <c r="K69" s="47" t="str">
        <f>IF(J69&lt;&gt;"",VLOOKUP(J69,الجهات!$B$4:$D$23,2),"")</f>
        <v>مورد 1</v>
      </c>
      <c r="L69" s="47" t="str">
        <f>IF(J69&lt;&gt;"",VLOOKUP(J69,الجهات!$B$4:$D$23,3),"")</f>
        <v xml:space="preserve">مورد </v>
      </c>
    </row>
    <row r="70" spans="2:12" ht="21">
      <c r="B70" s="3"/>
      <c r="C70" s="3"/>
      <c r="D70" s="4"/>
      <c r="E70" s="4"/>
      <c r="F70" s="24">
        <f t="shared" si="1"/>
        <v>0</v>
      </c>
      <c r="G70" s="3"/>
      <c r="H70" s="23" t="str">
        <f>IF(G70&lt;&gt;"",VLOOKUP(G70,'ميزان المراجعه'!$C$6:$D$167,2,FALSE),"")</f>
        <v/>
      </c>
      <c r="I70" s="3"/>
      <c r="J70" s="3"/>
      <c r="K70" s="47" t="str">
        <f>IF(J70&lt;&gt;"",VLOOKUP(J70,الجهات!$B$4:$D$23,2),"")</f>
        <v/>
      </c>
      <c r="L70" s="47" t="str">
        <f>IF(J70&lt;&gt;"",VLOOKUP(J70,الجهات!$B$4:$D$23,3),"")</f>
        <v/>
      </c>
    </row>
    <row r="71" spans="2:12" ht="21">
      <c r="B71" s="45">
        <v>45912</v>
      </c>
      <c r="C71" s="3">
        <v>19</v>
      </c>
      <c r="D71" s="4">
        <v>30000</v>
      </c>
      <c r="E71" s="4"/>
      <c r="F71" s="24">
        <f t="shared" si="1"/>
        <v>30000</v>
      </c>
      <c r="G71" s="3">
        <v>233001</v>
      </c>
      <c r="H71" s="23" t="str">
        <f>IF(G71&lt;&gt;"",VLOOKUP(G71,'ميزان المراجعه'!$C$6:$D$167,2,FALSE),"")</f>
        <v>ضرائب مبيعات/قيمه مضافه</v>
      </c>
      <c r="I71" s="3" t="s">
        <v>211</v>
      </c>
      <c r="J71" s="3"/>
      <c r="K71" s="47" t="str">
        <f>IF(J71&lt;&gt;"",VLOOKUP(J71,الجهات!$B$4:$D$23,2),"")</f>
        <v/>
      </c>
      <c r="L71" s="47" t="str">
        <f>IF(J71&lt;&gt;"",VLOOKUP(J71,الجهات!$B$4:$D$23,3),"")</f>
        <v/>
      </c>
    </row>
    <row r="72" spans="2:12" ht="21">
      <c r="B72" s="45">
        <v>45912</v>
      </c>
      <c r="C72" s="3">
        <v>19</v>
      </c>
      <c r="D72" s="4"/>
      <c r="E72" s="4">
        <v>15000</v>
      </c>
      <c r="F72" s="24">
        <f t="shared" si="1"/>
        <v>15000</v>
      </c>
      <c r="G72" s="3">
        <v>125000</v>
      </c>
      <c r="H72" s="23" t="str">
        <f>IF(G72&lt;&gt;"",VLOOKUP(G72,'ميزان المراجعه'!$C$6:$D$167,2,FALSE),"")</f>
        <v>ضريبه القيمه المضافه للمدخلات</v>
      </c>
      <c r="I72" s="3" t="s">
        <v>211</v>
      </c>
      <c r="J72" s="3"/>
      <c r="K72" s="47" t="str">
        <f>IF(J72&lt;&gt;"",VLOOKUP(J72,الجهات!$B$4:$D$23,2),"")</f>
        <v/>
      </c>
      <c r="L72" s="47" t="str">
        <f>IF(J72&lt;&gt;"",VLOOKUP(J72,الجهات!$B$4:$D$23,3),"")</f>
        <v/>
      </c>
    </row>
    <row r="73" spans="2:12" ht="21">
      <c r="B73" s="45">
        <v>45912</v>
      </c>
      <c r="C73" s="3">
        <v>19</v>
      </c>
      <c r="D73" s="4"/>
      <c r="E73" s="4">
        <v>15000</v>
      </c>
      <c r="F73" s="24">
        <f t="shared" si="1"/>
        <v>0</v>
      </c>
      <c r="G73" s="3">
        <v>233003</v>
      </c>
      <c r="H73" s="23" t="str">
        <f>IF(G73&lt;&gt;"",VLOOKUP(G73,'ميزان المراجعه'!$C$6:$D$167,2,FALSE),"")</f>
        <v>مصلحه الضرائب</v>
      </c>
      <c r="I73" s="3" t="s">
        <v>211</v>
      </c>
      <c r="J73" s="3"/>
      <c r="K73" s="47" t="str">
        <f>IF(J73&lt;&gt;"",VLOOKUP(J73,الجهات!$B$4:$D$23,2),"")</f>
        <v/>
      </c>
      <c r="L73" s="47" t="str">
        <f>IF(J73&lt;&gt;"",VLOOKUP(J73,الجهات!$B$4:$D$23,3),"")</f>
        <v/>
      </c>
    </row>
    <row r="74" spans="2:12" ht="21">
      <c r="B74" s="3"/>
      <c r="C74" s="3"/>
      <c r="D74" s="4"/>
      <c r="E74" s="4"/>
      <c r="F74" s="24">
        <f t="shared" ref="F74:F101" si="3">F73+D74-E74</f>
        <v>0</v>
      </c>
      <c r="G74" s="3"/>
      <c r="H74" s="23" t="str">
        <f>IF(G74&lt;&gt;"",VLOOKUP(G74,'ميزان المراجعه'!$C$6:$D$167,2,FALSE),"")</f>
        <v/>
      </c>
      <c r="I74" s="3"/>
      <c r="J74" s="3"/>
      <c r="K74" s="47" t="str">
        <f>IF(J74&lt;&gt;"",VLOOKUP(J74,الجهات!$B$4:$D$23,2),"")</f>
        <v/>
      </c>
      <c r="L74" s="47" t="str">
        <f>IF(J74&lt;&gt;"",VLOOKUP(J74,الجهات!$B$4:$D$23,3),"")</f>
        <v/>
      </c>
    </row>
    <row r="75" spans="2:12" ht="21">
      <c r="B75" s="45">
        <v>45942</v>
      </c>
      <c r="C75" s="3">
        <v>20</v>
      </c>
      <c r="D75" s="4">
        <v>5000</v>
      </c>
      <c r="E75" s="4"/>
      <c r="F75" s="24">
        <f t="shared" si="3"/>
        <v>5000</v>
      </c>
      <c r="G75" s="3">
        <v>233003</v>
      </c>
      <c r="H75" s="23" t="str">
        <f>IF(G75&lt;&gt;"",VLOOKUP(G75,'ميزان المراجعه'!$C$6:$D$167,2,FALSE),"")</f>
        <v>مصلحه الضرائب</v>
      </c>
      <c r="I75" s="3" t="s">
        <v>212</v>
      </c>
      <c r="J75" s="3"/>
      <c r="K75" s="47" t="str">
        <f>IF(J75&lt;&gt;"",VLOOKUP(J75,الجهات!$B$4:$D$23,2),"")</f>
        <v/>
      </c>
      <c r="L75" s="47" t="str">
        <f>IF(J75&lt;&gt;"",VLOOKUP(J75,الجهات!$B$4:$D$23,3),"")</f>
        <v/>
      </c>
    </row>
    <row r="76" spans="2:12" ht="21">
      <c r="B76" s="45">
        <v>45942</v>
      </c>
      <c r="C76" s="3">
        <v>20</v>
      </c>
      <c r="D76" s="4"/>
      <c r="E76" s="4">
        <v>5000</v>
      </c>
      <c r="F76" s="24">
        <f t="shared" si="3"/>
        <v>0</v>
      </c>
      <c r="G76" s="3">
        <v>121002</v>
      </c>
      <c r="H76" s="23" t="str">
        <f>IF(G76&lt;&gt;"",VLOOKUP(G76,'ميزان المراجعه'!$C$6:$D$167,2,FALSE),"")</f>
        <v>حساب البنك الاهلي</v>
      </c>
      <c r="I76" s="3" t="s">
        <v>212</v>
      </c>
      <c r="J76" s="3"/>
      <c r="K76" s="47" t="str">
        <f>IF(J76&lt;&gt;"",VLOOKUP(J76,الجهات!$B$4:$D$23,2),"")</f>
        <v/>
      </c>
      <c r="L76" s="47" t="str">
        <f>IF(J76&lt;&gt;"",VLOOKUP(J76,الجهات!$B$4:$D$23,3),"")</f>
        <v/>
      </c>
    </row>
    <row r="77" spans="2:12" ht="21">
      <c r="B77" s="3"/>
      <c r="C77" s="3"/>
      <c r="D77" s="4"/>
      <c r="E77" s="4"/>
      <c r="F77" s="24">
        <f t="shared" si="3"/>
        <v>0</v>
      </c>
      <c r="G77" s="3"/>
      <c r="H77" s="23" t="str">
        <f>IF(G77&lt;&gt;"",VLOOKUP(G77,'ميزان المراجعه'!$C$6:$D$167,2,FALSE),"")</f>
        <v/>
      </c>
      <c r="I77" s="3"/>
      <c r="J77" s="3"/>
      <c r="K77" s="47" t="str">
        <f>IF(J77&lt;&gt;"",VLOOKUP(J77,الجهات!$B$4:$D$23,2),"")</f>
        <v/>
      </c>
      <c r="L77" s="47" t="str">
        <f>IF(J77&lt;&gt;"",VLOOKUP(J77,الجهات!$B$4:$D$23,3),"")</f>
        <v/>
      </c>
    </row>
    <row r="78" spans="2:12" ht="21">
      <c r="B78" s="45">
        <v>46003</v>
      </c>
      <c r="C78" s="3">
        <v>21</v>
      </c>
      <c r="D78" s="4">
        <v>100000</v>
      </c>
      <c r="E78" s="4"/>
      <c r="F78" s="24">
        <f t="shared" si="3"/>
        <v>100000</v>
      </c>
      <c r="G78" s="3">
        <v>231000</v>
      </c>
      <c r="H78" s="23" t="str">
        <f>IF(G78&lt;&gt;"",VLOOKUP(G78,'ميزان المراجعه'!$C$6:$D$167,2,FALSE),"")</f>
        <v>موردون محليون</v>
      </c>
      <c r="I78" s="3" t="s">
        <v>213</v>
      </c>
      <c r="J78" s="3">
        <v>1001</v>
      </c>
      <c r="K78" s="47" t="str">
        <f>IF(J78&lt;&gt;"",VLOOKUP(J78,الجهات!$B$4:$D$23,2),"")</f>
        <v>مورد 1</v>
      </c>
      <c r="L78" s="47" t="str">
        <f>IF(J78&lt;&gt;"",VLOOKUP(J78,الجهات!$B$4:$D$23,3),"")</f>
        <v xml:space="preserve">مورد </v>
      </c>
    </row>
    <row r="79" spans="2:12" ht="21">
      <c r="B79" s="45">
        <v>46003</v>
      </c>
      <c r="C79" s="3">
        <v>21</v>
      </c>
      <c r="D79" s="4">
        <v>1000</v>
      </c>
      <c r="E79" s="4"/>
      <c r="F79" s="24">
        <f t="shared" si="3"/>
        <v>101000</v>
      </c>
      <c r="G79" s="3">
        <v>431002</v>
      </c>
      <c r="H79" s="23" t="str">
        <f>IF(G79&lt;&gt;"",VLOOKUP(G79,'ميزان المراجعه'!$C$6:$D$167,2,FALSE),"")</f>
        <v>مصاريف بنكيه</v>
      </c>
      <c r="I79" s="3" t="s">
        <v>213</v>
      </c>
      <c r="J79" s="3"/>
      <c r="K79" s="47" t="str">
        <f>IF(J79&lt;&gt;"",VLOOKUP(J79,الجهات!$B$4:$D$23,2),"")</f>
        <v/>
      </c>
      <c r="L79" s="47" t="str">
        <f>IF(J79&lt;&gt;"",VLOOKUP(J79,الجهات!$B$4:$D$23,3),"")</f>
        <v/>
      </c>
    </row>
    <row r="80" spans="2:12" ht="21">
      <c r="B80" s="45">
        <v>46003</v>
      </c>
      <c r="C80" s="3">
        <v>21</v>
      </c>
      <c r="D80" s="4"/>
      <c r="E80" s="4">
        <v>101000</v>
      </c>
      <c r="F80" s="24">
        <f t="shared" si="3"/>
        <v>0</v>
      </c>
      <c r="G80" s="3">
        <v>121002</v>
      </c>
      <c r="H80" s="23" t="str">
        <f>IF(G80&lt;&gt;"",VLOOKUP(G80,'ميزان المراجعه'!$C$6:$D$167,2,FALSE),"")</f>
        <v>حساب البنك الاهلي</v>
      </c>
      <c r="I80" s="3" t="s">
        <v>213</v>
      </c>
      <c r="J80" s="3"/>
      <c r="K80" s="47" t="str">
        <f>IF(J80&lt;&gt;"",VLOOKUP(J80,الجهات!$B$4:$D$23,2),"")</f>
        <v/>
      </c>
      <c r="L80" s="47" t="str">
        <f>IF(J80&lt;&gt;"",VLOOKUP(J80,الجهات!$B$4:$D$23,3),"")</f>
        <v/>
      </c>
    </row>
    <row r="81" spans="2:12" ht="21">
      <c r="B81" s="3"/>
      <c r="C81" s="3"/>
      <c r="D81" s="4"/>
      <c r="E81" s="4"/>
      <c r="F81" s="24">
        <f t="shared" si="3"/>
        <v>0</v>
      </c>
      <c r="G81" s="3"/>
      <c r="H81" s="23" t="str">
        <f>IF(G81&lt;&gt;"",VLOOKUP(G81,'ميزان المراجعه'!$C$6:$D$167,2,FALSE),"")</f>
        <v/>
      </c>
      <c r="I81" s="3"/>
      <c r="J81" s="3"/>
      <c r="K81" s="47" t="str">
        <f>IF(J81&lt;&gt;"",VLOOKUP(J81,الجهات!$B$4:$D$23,2),"")</f>
        <v/>
      </c>
      <c r="L81" s="47" t="str">
        <f>IF(J81&lt;&gt;"",VLOOKUP(J81,الجهات!$B$4:$D$23,3),"")</f>
        <v/>
      </c>
    </row>
    <row r="82" spans="2:12" ht="21">
      <c r="B82" s="3" t="s">
        <v>214</v>
      </c>
      <c r="C82" s="3">
        <v>22</v>
      </c>
      <c r="D82" s="4">
        <v>50000</v>
      </c>
      <c r="E82" s="4"/>
      <c r="F82" s="24">
        <f t="shared" si="3"/>
        <v>50000</v>
      </c>
      <c r="G82" s="3">
        <v>121002</v>
      </c>
      <c r="H82" s="23" t="str">
        <f>IF(G82&lt;&gt;"",VLOOKUP(G82,'ميزان المراجعه'!$C$6:$D$167,2,FALSE),"")</f>
        <v>حساب البنك الاهلي</v>
      </c>
      <c r="I82" s="3" t="s">
        <v>215</v>
      </c>
      <c r="J82" s="3"/>
      <c r="K82" s="47" t="str">
        <f>IF(J82&lt;&gt;"",VLOOKUP(J82,الجهات!$B$4:$D$23,2),"")</f>
        <v/>
      </c>
      <c r="L82" s="47" t="str">
        <f>IF(J82&lt;&gt;"",VLOOKUP(J82,الجهات!$B$4:$D$23,3),"")</f>
        <v/>
      </c>
    </row>
    <row r="83" spans="2:12" ht="21">
      <c r="B83" s="3" t="s">
        <v>214</v>
      </c>
      <c r="C83" s="3">
        <v>22</v>
      </c>
      <c r="D83" s="4"/>
      <c r="E83" s="4">
        <v>50000</v>
      </c>
      <c r="F83" s="24">
        <f t="shared" si="3"/>
        <v>0</v>
      </c>
      <c r="G83" s="3">
        <v>122000</v>
      </c>
      <c r="H83" s="23" t="str">
        <f>IF(G83&lt;&gt;"",VLOOKUP(G83,'ميزان المراجعه'!$C$6:$D$167,2,FALSE),"")</f>
        <v>العملاء المحليون</v>
      </c>
      <c r="I83" s="3" t="s">
        <v>215</v>
      </c>
      <c r="J83" s="3">
        <v>2002</v>
      </c>
      <c r="K83" s="47" t="str">
        <f>IF(J83&lt;&gt;"",VLOOKUP(J83,الجهات!$B$4:$D$23,2),"")</f>
        <v>عميل 2</v>
      </c>
      <c r="L83" s="47" t="str">
        <f>IF(J83&lt;&gt;"",VLOOKUP(J83,الجهات!$B$4:$D$23,3),"")</f>
        <v>عميل</v>
      </c>
    </row>
    <row r="84" spans="2:12" ht="21">
      <c r="B84" s="3"/>
      <c r="C84" s="3"/>
      <c r="D84" s="4"/>
      <c r="E84" s="4"/>
      <c r="F84" s="24">
        <f t="shared" si="3"/>
        <v>0</v>
      </c>
      <c r="G84" s="3"/>
      <c r="H84" s="23" t="str">
        <f>IF(G84&lt;&gt;"",VLOOKUP(G84,'ميزان المراجعه'!$C$6:$D$167,2,FALSE),"")</f>
        <v/>
      </c>
      <c r="I84" s="3"/>
      <c r="J84" s="3"/>
      <c r="K84" s="47" t="str">
        <f>IF(J84&lt;&gt;"",VLOOKUP(J84,الجهات!$B$4:$D$23,2),"")</f>
        <v/>
      </c>
      <c r="L84" s="47" t="str">
        <f>IF(J84&lt;&gt;"",VLOOKUP(J84,الجهات!$B$4:$D$23,3),"")</f>
        <v/>
      </c>
    </row>
    <row r="85" spans="2:12" ht="21">
      <c r="B85" s="3" t="s">
        <v>216</v>
      </c>
      <c r="C85" s="3">
        <v>23</v>
      </c>
      <c r="D85" s="4">
        <v>3750</v>
      </c>
      <c r="E85" s="4"/>
      <c r="F85" s="24">
        <f t="shared" si="3"/>
        <v>3750</v>
      </c>
      <c r="G85" s="3">
        <v>421005</v>
      </c>
      <c r="H85" s="23" t="str">
        <f>IF(G85&lt;&gt;"",VLOOKUP(G85,'ميزان المراجعه'!$C$6:$D$167,2,FALSE),"")</f>
        <v xml:space="preserve"> اهلاك اثاث ومعدات</v>
      </c>
      <c r="I85" s="3" t="s">
        <v>217</v>
      </c>
      <c r="J85" s="3"/>
      <c r="K85" s="47" t="str">
        <f>IF(J85&lt;&gt;"",VLOOKUP(J85,الجهات!$B$4:$D$23,2),"")</f>
        <v/>
      </c>
      <c r="L85" s="47" t="str">
        <f>IF(J85&lt;&gt;"",VLOOKUP(J85,الجهات!$B$4:$D$23,3),"")</f>
        <v/>
      </c>
    </row>
    <row r="86" spans="2:12" ht="21">
      <c r="B86" s="3" t="s">
        <v>216</v>
      </c>
      <c r="C86" s="3">
        <v>23</v>
      </c>
      <c r="D86" s="4">
        <v>10000</v>
      </c>
      <c r="E86" s="4"/>
      <c r="F86" s="24">
        <f t="shared" si="3"/>
        <v>13750</v>
      </c>
      <c r="G86" s="3">
        <v>421006</v>
      </c>
      <c r="H86" s="23" t="str">
        <f>IF(G86&lt;&gt;"",VLOOKUP(G86,'ميزان المراجعه'!$C$6:$D$167,2,FALSE),"")</f>
        <v xml:space="preserve"> اهلاك سيارات</v>
      </c>
      <c r="I86" s="3" t="s">
        <v>217</v>
      </c>
      <c r="J86" s="3"/>
      <c r="K86" s="47" t="str">
        <f>IF(J86&lt;&gt;"",VLOOKUP(J86,الجهات!$B$4:$D$23,2),"")</f>
        <v/>
      </c>
      <c r="L86" s="47" t="str">
        <f>IF(J86&lt;&gt;"",VLOOKUP(J86,الجهات!$B$4:$D$23,3),"")</f>
        <v/>
      </c>
    </row>
    <row r="87" spans="2:12" ht="21">
      <c r="B87" s="3"/>
      <c r="C87" s="3"/>
      <c r="D87" s="4">
        <v>2500</v>
      </c>
      <c r="E87" s="4"/>
      <c r="F87" s="24">
        <f t="shared" si="3"/>
        <v>16250</v>
      </c>
      <c r="G87" s="3">
        <v>421007</v>
      </c>
      <c r="H87" s="23" t="str">
        <f>IF(G87&lt;&gt;"",VLOOKUP(G87,'ميزان المراجعه'!$C$6:$D$167,2,FALSE),"")</f>
        <v xml:space="preserve"> اهلاك اجهزه حاسب</v>
      </c>
      <c r="I87" s="3"/>
      <c r="J87" s="3"/>
      <c r="K87" s="47" t="str">
        <f>IF(J87&lt;&gt;"",VLOOKUP(J87,الجهات!$B$4:$D$23,2),"")</f>
        <v/>
      </c>
      <c r="L87" s="47" t="str">
        <f>IF(J87&lt;&gt;"",VLOOKUP(J87,الجهات!$B$4:$D$23,3),"")</f>
        <v/>
      </c>
    </row>
    <row r="88" spans="2:12" ht="21">
      <c r="B88" s="3"/>
      <c r="C88" s="3"/>
      <c r="D88" s="4"/>
      <c r="E88" s="4">
        <v>16250</v>
      </c>
      <c r="F88" s="24">
        <f t="shared" si="3"/>
        <v>0</v>
      </c>
      <c r="G88" s="3">
        <v>111005</v>
      </c>
      <c r="H88" s="23" t="str">
        <f>IF(G88&lt;&gt;"",VLOOKUP(G88,'ميزان المراجعه'!$C$6:$D$167,2,FALSE),"")</f>
        <v>مجمع الاهلاك</v>
      </c>
      <c r="I88" s="3"/>
      <c r="J88" s="3"/>
      <c r="K88" s="47"/>
      <c r="L88" s="47"/>
    </row>
    <row r="89" spans="2:12" ht="21">
      <c r="B89" s="3"/>
      <c r="C89" s="3"/>
      <c r="D89" s="4"/>
      <c r="E89" s="4"/>
      <c r="F89" s="24">
        <f t="shared" si="3"/>
        <v>0</v>
      </c>
      <c r="G89" s="3"/>
      <c r="H89" s="23" t="str">
        <f>IF(G89&lt;&gt;"",VLOOKUP(G89,'ميزان المراجعه'!$C$6:$D$167,2,FALSE),"")</f>
        <v/>
      </c>
      <c r="I89" s="3"/>
      <c r="J89" s="3"/>
      <c r="K89" s="47"/>
      <c r="L89" s="47"/>
    </row>
    <row r="90" spans="2:12" ht="21">
      <c r="B90" s="3"/>
      <c r="C90" s="3"/>
      <c r="D90" s="4"/>
      <c r="E90" s="4"/>
      <c r="F90" s="24">
        <f t="shared" si="3"/>
        <v>0</v>
      </c>
      <c r="G90" s="3"/>
      <c r="H90" s="23" t="str">
        <f>IF(G90&lt;&gt;"",VLOOKUP(G90,'ميزان المراجعه'!$C$6:$D$167,2,FALSE),"")</f>
        <v/>
      </c>
      <c r="I90" s="3"/>
      <c r="J90" s="3"/>
      <c r="K90" s="47"/>
      <c r="L90" s="47"/>
    </row>
    <row r="91" spans="2:12" ht="21">
      <c r="B91" s="3" t="s">
        <v>216</v>
      </c>
      <c r="C91" s="3">
        <v>26</v>
      </c>
      <c r="D91" s="4">
        <v>20000</v>
      </c>
      <c r="E91" s="4"/>
      <c r="F91" s="24">
        <f t="shared" si="3"/>
        <v>20000</v>
      </c>
      <c r="G91" s="3">
        <v>442000</v>
      </c>
      <c r="H91" s="23" t="str">
        <f>IF(G91&lt;&gt;"",VLOOKUP(G91,'ميزان المراجعه'!$C$6:$D$167,2,FALSE),"")</f>
        <v>مصروف ضرائب</v>
      </c>
      <c r="I91" s="3" t="s">
        <v>218</v>
      </c>
      <c r="J91" s="3"/>
      <c r="K91" s="47" t="str">
        <f>IF(J91&lt;&gt;"",VLOOKUP(J91,الجهات!$B$4:$D$23,2),"")</f>
        <v/>
      </c>
      <c r="L91" s="47" t="str">
        <f>IF(J91&lt;&gt;"",VLOOKUP(J91,الجهات!$B$4:$D$23,3),"")</f>
        <v/>
      </c>
    </row>
    <row r="92" spans="2:12" ht="21">
      <c r="B92" s="3" t="s">
        <v>216</v>
      </c>
      <c r="C92" s="3">
        <v>26</v>
      </c>
      <c r="D92" s="4"/>
      <c r="E92" s="4">
        <v>20000</v>
      </c>
      <c r="F92" s="24">
        <f t="shared" si="3"/>
        <v>0</v>
      </c>
      <c r="G92" s="3">
        <v>121002</v>
      </c>
      <c r="H92" s="23" t="str">
        <f>IF(G92&lt;&gt;"",VLOOKUP(G92,'ميزان المراجعه'!$C$6:$D$167,2,FALSE),"")</f>
        <v>حساب البنك الاهلي</v>
      </c>
      <c r="I92" s="3" t="s">
        <v>218</v>
      </c>
      <c r="J92" s="3"/>
      <c r="K92" s="47" t="str">
        <f>IF(J92&lt;&gt;"",VLOOKUP(J92,الجهات!$B$4:$D$23,2),"")</f>
        <v/>
      </c>
      <c r="L92" s="47" t="str">
        <f>IF(J92&lt;&gt;"",VLOOKUP(J92,الجهات!$B$4:$D$23,3),"")</f>
        <v/>
      </c>
    </row>
    <row r="93" spans="2:12" ht="21">
      <c r="B93" s="3"/>
      <c r="C93" s="3"/>
      <c r="D93" s="4"/>
      <c r="E93" s="4"/>
      <c r="F93" s="24">
        <f t="shared" si="3"/>
        <v>0</v>
      </c>
      <c r="G93" s="3"/>
      <c r="H93" s="23" t="str">
        <f>IF(G93&lt;&gt;"",VLOOKUP(G93,'ميزان المراجعه'!$C$6:$D$167,2,FALSE),"")</f>
        <v/>
      </c>
      <c r="I93" s="3"/>
      <c r="J93" s="3"/>
      <c r="K93" s="47" t="str">
        <f>IF(J93&lt;&gt;"",VLOOKUP(J93,الجهات!$B$4:$D$23,2),"")</f>
        <v/>
      </c>
      <c r="L93" s="47" t="str">
        <f>IF(J93&lt;&gt;"",VLOOKUP(J93,الجهات!$B$4:$D$23,3),"")</f>
        <v/>
      </c>
    </row>
    <row r="94" spans="2:12" ht="21">
      <c r="B94" s="3"/>
      <c r="C94" s="3"/>
      <c r="D94" s="4"/>
      <c r="E94" s="4"/>
      <c r="F94" s="24">
        <f t="shared" si="3"/>
        <v>0</v>
      </c>
      <c r="G94" s="3"/>
      <c r="H94" s="23" t="str">
        <f>IF(G94&lt;&gt;"",VLOOKUP(G94,'ميزان المراجعه'!$C$6:$D$167,2,FALSE),"")</f>
        <v/>
      </c>
      <c r="I94" s="3"/>
      <c r="J94" s="3"/>
      <c r="K94" s="47" t="str">
        <f>IF(J94&lt;&gt;"",VLOOKUP(J94,الجهات!$B$4:$D$23,2),"")</f>
        <v/>
      </c>
      <c r="L94" s="47" t="str">
        <f>IF(J94&lt;&gt;"",VLOOKUP(J94,الجهات!$B$4:$D$23,3),"")</f>
        <v/>
      </c>
    </row>
    <row r="95" spans="2:12" ht="21">
      <c r="B95" s="3"/>
      <c r="C95" s="3"/>
      <c r="D95" s="4"/>
      <c r="E95" s="4"/>
      <c r="F95" s="24">
        <f t="shared" si="3"/>
        <v>0</v>
      </c>
      <c r="G95" s="3"/>
      <c r="H95" s="23" t="str">
        <f>IF(G95&lt;&gt;"",VLOOKUP(G95,'ميزان المراجعه'!$C$6:$D$167,2,FALSE),"")</f>
        <v/>
      </c>
      <c r="I95" s="3"/>
      <c r="J95" s="3"/>
      <c r="K95" s="47" t="str">
        <f>IF(J95&lt;&gt;"",VLOOKUP(J95,الجهات!$B$4:$D$23,2),"")</f>
        <v/>
      </c>
      <c r="L95" s="47" t="str">
        <f>IF(J95&lt;&gt;"",VLOOKUP(J95,الجهات!$B$4:$D$23,3),"")</f>
        <v/>
      </c>
    </row>
    <row r="96" spans="2:12" ht="21">
      <c r="B96" s="3"/>
      <c r="C96" s="3"/>
      <c r="D96" s="4"/>
      <c r="E96" s="4"/>
      <c r="F96" s="24">
        <f t="shared" si="3"/>
        <v>0</v>
      </c>
      <c r="G96" s="3"/>
      <c r="H96" s="23" t="str">
        <f>IF(G96&lt;&gt;"",VLOOKUP(G96,'ميزان المراجعه'!$C$6:$D$167,2,FALSE),"")</f>
        <v/>
      </c>
      <c r="I96" s="3"/>
      <c r="J96" s="3"/>
      <c r="K96" s="47" t="str">
        <f>IF(J96&lt;&gt;"",VLOOKUP(J96,الجهات!$B$4:$D$23,2),"")</f>
        <v/>
      </c>
      <c r="L96" s="47" t="str">
        <f>IF(J96&lt;&gt;"",VLOOKUP(J96,الجهات!$B$4:$D$23,3),"")</f>
        <v/>
      </c>
    </row>
    <row r="97" spans="2:12" ht="21">
      <c r="B97" s="3"/>
      <c r="C97" s="3"/>
      <c r="D97" s="4"/>
      <c r="E97" s="4"/>
      <c r="F97" s="24">
        <f t="shared" si="3"/>
        <v>0</v>
      </c>
      <c r="G97" s="3"/>
      <c r="H97" s="23" t="str">
        <f>IF(G97&lt;&gt;"",VLOOKUP(G97,'ميزان المراجعه'!$C$6:$D$167,2,FALSE),"")</f>
        <v/>
      </c>
      <c r="I97" s="3"/>
      <c r="J97" s="3"/>
      <c r="K97" s="47" t="str">
        <f>IF(J97&lt;&gt;"",VLOOKUP(J97,الجهات!$B$4:$D$23,2),"")</f>
        <v/>
      </c>
      <c r="L97" s="47" t="str">
        <f>IF(J97&lt;&gt;"",VLOOKUP(J97,الجهات!$B$4:$D$23,3),"")</f>
        <v/>
      </c>
    </row>
    <row r="98" spans="2:12" ht="21">
      <c r="B98" s="3"/>
      <c r="C98" s="3"/>
      <c r="D98" s="4"/>
      <c r="E98" s="4"/>
      <c r="F98" s="24">
        <f t="shared" si="3"/>
        <v>0</v>
      </c>
      <c r="G98" s="3"/>
      <c r="H98" s="23" t="str">
        <f>IF(G98&lt;&gt;"",VLOOKUP(G98,'ميزان المراجعه'!$C$6:$D$167,2,FALSE),"")</f>
        <v/>
      </c>
      <c r="I98" s="3"/>
      <c r="J98" s="3"/>
      <c r="K98" s="47" t="str">
        <f>IF(J98&lt;&gt;"",VLOOKUP(J98,الجهات!$B$4:$D$23,2),"")</f>
        <v/>
      </c>
      <c r="L98" s="47" t="str">
        <f>IF(J98&lt;&gt;"",VLOOKUP(J98,الجهات!$B$4:$D$23,3),"")</f>
        <v/>
      </c>
    </row>
    <row r="99" spans="2:12" ht="21">
      <c r="B99" s="3"/>
      <c r="C99" s="3"/>
      <c r="D99" s="4"/>
      <c r="E99" s="4"/>
      <c r="F99" s="24">
        <f t="shared" si="3"/>
        <v>0</v>
      </c>
      <c r="G99" s="3"/>
      <c r="H99" s="23" t="str">
        <f>IF(G99&lt;&gt;"",VLOOKUP(G99,'ميزان المراجعه'!$C$6:$D$167,2,FALSE),"")</f>
        <v/>
      </c>
      <c r="I99" s="3"/>
      <c r="J99" s="3"/>
      <c r="K99" s="47" t="str">
        <f>IF(J99&lt;&gt;"",VLOOKUP(J99,الجهات!$B$4:$D$23,2),"")</f>
        <v/>
      </c>
      <c r="L99" s="47" t="str">
        <f>IF(J99&lt;&gt;"",VLOOKUP(J99,الجهات!$B$4:$D$23,3),"")</f>
        <v/>
      </c>
    </row>
    <row r="100" spans="2:12" ht="21">
      <c r="B100" s="3"/>
      <c r="C100" s="3"/>
      <c r="D100" s="4"/>
      <c r="E100" s="4"/>
      <c r="F100" s="24">
        <f t="shared" si="3"/>
        <v>0</v>
      </c>
      <c r="G100" s="3"/>
      <c r="H100" s="23" t="str">
        <f>IF(G100&lt;&gt;"",VLOOKUP(G100,'ميزان المراجعه'!$C$6:$D$167,2,FALSE),"")</f>
        <v/>
      </c>
      <c r="I100" s="3"/>
      <c r="J100" s="3"/>
      <c r="K100" s="47" t="str">
        <f>IF(J100&lt;&gt;"",VLOOKUP(J100,الجهات!$B$4:$D$23,2),"")</f>
        <v/>
      </c>
      <c r="L100" s="47" t="str">
        <f>IF(J100&lt;&gt;"",VLOOKUP(J100,الجهات!$B$4:$D$23,3),"")</f>
        <v/>
      </c>
    </row>
    <row r="101" spans="2:12" ht="21">
      <c r="B101" s="3"/>
      <c r="C101" s="3"/>
      <c r="D101" s="4"/>
      <c r="E101" s="4"/>
      <c r="F101" s="24">
        <f t="shared" si="3"/>
        <v>0</v>
      </c>
      <c r="G101" s="3"/>
      <c r="H101" s="23" t="str">
        <f>IF(G101&lt;&gt;"",VLOOKUP(G101,'ميزان المراجعه'!$C$6:$D$167,2,FALSE),"")</f>
        <v/>
      </c>
      <c r="I101" s="3"/>
      <c r="J101" s="3"/>
      <c r="K101" s="47" t="str">
        <f>IF(J101&lt;&gt;"",VLOOKUP(J101,الجهات!$B$4:$D$23,2),"")</f>
        <v/>
      </c>
      <c r="L101" s="47" t="str">
        <f>IF(J101&lt;&gt;"",VLOOKUP(J101,الجهات!$B$4:$D$23,3),"")</f>
        <v/>
      </c>
    </row>
    <row r="102" spans="2:12" ht="39.75" customHeight="1">
      <c r="B102" s="48"/>
      <c r="C102" s="48"/>
      <c r="D102" s="49">
        <f>SUBTOTAL(9,D4:D101)</f>
        <v>5153650</v>
      </c>
      <c r="E102" s="49">
        <f>SUBTOTAL(9,E4:E101)</f>
        <v>5153650</v>
      </c>
      <c r="F102" s="50"/>
      <c r="G102" s="76" t="s">
        <v>178</v>
      </c>
      <c r="H102" s="77"/>
      <c r="I102" s="77"/>
      <c r="J102" s="77"/>
      <c r="K102" s="77"/>
      <c r="L102" s="77"/>
    </row>
    <row r="103" spans="2:12" ht="21" customHeight="1">
      <c r="D103" s="78">
        <f>D102-E102</f>
        <v>0</v>
      </c>
      <c r="E103" s="78"/>
      <c r="F103" s="51"/>
    </row>
    <row r="104" spans="2:12">
      <c r="D104" s="78"/>
      <c r="E104" s="78"/>
      <c r="F104" s="51"/>
    </row>
  </sheetData>
  <autoFilter ref="C3:L104" xr:uid="{00000000-0009-0000-0000-000001000000}"/>
  <mergeCells count="3">
    <mergeCell ref="B1:L1"/>
    <mergeCell ref="G102:L102"/>
    <mergeCell ref="D103:E10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3:J20"/>
  <sheetViews>
    <sheetView rightToLeft="1" workbookViewId="0">
      <selection activeCell="D20" sqref="D20"/>
    </sheetView>
  </sheetViews>
  <sheetFormatPr defaultColWidth="9" defaultRowHeight="15"/>
  <cols>
    <col min="2" max="2" width="23.42578125" customWidth="1"/>
    <col min="3" max="3" width="29.140625" customWidth="1"/>
    <col min="4" max="4" width="16.7109375" customWidth="1"/>
    <col min="5" max="5" width="16.42578125" customWidth="1"/>
    <col min="6" max="6" width="5.5703125" customWidth="1"/>
    <col min="7" max="7" width="17.140625" customWidth="1"/>
    <col min="8" max="8" width="20.28515625" customWidth="1"/>
    <col min="9" max="9" width="17.28515625" customWidth="1"/>
    <col min="10" max="10" width="15.7109375" customWidth="1"/>
  </cols>
  <sheetData>
    <row r="3" spans="2:10" ht="20.25" customHeight="1">
      <c r="B3" s="72" t="s">
        <v>186</v>
      </c>
      <c r="C3" s="72" t="s">
        <v>187</v>
      </c>
      <c r="D3" s="72" t="s">
        <v>188</v>
      </c>
      <c r="E3" s="72" t="s">
        <v>6</v>
      </c>
      <c r="F3" s="72"/>
      <c r="G3" s="72" t="s">
        <v>7</v>
      </c>
      <c r="H3" s="72"/>
      <c r="I3" s="72" t="s">
        <v>8</v>
      </c>
      <c r="J3" s="72"/>
    </row>
    <row r="4" spans="2:10" ht="36" customHeight="1">
      <c r="B4" s="72"/>
      <c r="C4" s="72"/>
      <c r="D4" s="72"/>
      <c r="E4" s="1" t="s">
        <v>11</v>
      </c>
      <c r="F4" s="1" t="s">
        <v>12</v>
      </c>
      <c r="G4" s="1" t="s">
        <v>11</v>
      </c>
      <c r="H4" s="1" t="s">
        <v>12</v>
      </c>
      <c r="I4" s="1" t="s">
        <v>11</v>
      </c>
      <c r="J4" s="1" t="s">
        <v>12</v>
      </c>
    </row>
    <row r="5" spans="2:10" ht="21">
      <c r="B5" s="2">
        <v>1001</v>
      </c>
      <c r="C5" s="3" t="s">
        <v>290</v>
      </c>
      <c r="D5" s="3" t="s">
        <v>291</v>
      </c>
      <c r="E5" s="4"/>
      <c r="F5" s="4"/>
      <c r="G5" s="5">
        <f>SUMIF('قيود اليوميه'!J:J,الجهات!B5,'قيود اليوميه'!D:D)</f>
        <v>100000</v>
      </c>
      <c r="H5" s="5">
        <f>SUMIF('قيود اليوميه'!J:J,الجهات!B5,'قيود اليوميه'!E:E)</f>
        <v>165000</v>
      </c>
      <c r="I5" s="5" t="str">
        <f>IF(E5-F5+G5-H5&gt;0,E5-F5+G5-H5,"")</f>
        <v/>
      </c>
      <c r="J5" s="5">
        <f>IF(F5-E5+H5-G5&gt;0,F5-E5+H5-G5,"")</f>
        <v>65000</v>
      </c>
    </row>
    <row r="6" spans="2:10" ht="21">
      <c r="B6" s="2">
        <v>1002</v>
      </c>
      <c r="C6" s="3" t="s">
        <v>292</v>
      </c>
      <c r="D6" s="3" t="s">
        <v>291</v>
      </c>
      <c r="E6" s="4"/>
      <c r="F6" s="4"/>
      <c r="G6" s="5">
        <f>SUMIF('قيود اليوميه'!J:J,الجهات!B6,'قيود اليوميه'!D:D)</f>
        <v>0</v>
      </c>
      <c r="H6" s="5">
        <f>SUMIF('قيود اليوميه'!J:J,الجهات!B6,'قيود اليوميه'!E:E)</f>
        <v>0</v>
      </c>
      <c r="I6" s="5" t="str">
        <f t="shared" ref="I6:I12" si="0">IF(E6-F6+G6-H6&gt;0,E6-F6+G6-H6,"")</f>
        <v/>
      </c>
      <c r="J6" s="5" t="str">
        <f>IF(F6-E6+H6-G6&gt;0,F6-E6+H6-G6,"")</f>
        <v/>
      </c>
    </row>
    <row r="7" spans="2:10" ht="21">
      <c r="B7" s="2">
        <v>1003</v>
      </c>
      <c r="C7" s="3" t="s">
        <v>293</v>
      </c>
      <c r="D7" s="3" t="s">
        <v>291</v>
      </c>
      <c r="E7" s="4"/>
      <c r="F7" s="4"/>
      <c r="G7" s="5">
        <f>SUMIF('قيود اليوميه'!J:J,الجهات!B7,'قيود اليوميه'!D:D)</f>
        <v>0</v>
      </c>
      <c r="H7" s="5">
        <f>SUMIF('قيود اليوميه'!J:J,الجهات!B7,'قيود اليوميه'!E:E)</f>
        <v>0</v>
      </c>
      <c r="I7" s="5" t="str">
        <f t="shared" si="0"/>
        <v/>
      </c>
      <c r="J7" s="5" t="str">
        <f t="shared" ref="J7:J12" si="1">IF(F7-E7+H7-G7&gt;0,F7-E7+H7-G7,"")</f>
        <v/>
      </c>
    </row>
    <row r="8" spans="2:10" ht="21">
      <c r="B8" s="2">
        <v>2001</v>
      </c>
      <c r="C8" s="3" t="s">
        <v>259</v>
      </c>
      <c r="D8" s="3" t="s">
        <v>294</v>
      </c>
      <c r="E8" s="4"/>
      <c r="F8" s="4"/>
      <c r="G8" s="5">
        <f>SUMIF('قيود اليوميه'!J:J,الجهات!B8,'قيود اليوميه'!D:D)</f>
        <v>0</v>
      </c>
      <c r="H8" s="5">
        <f>SUMIF('قيود اليوميه'!J:J,الجهات!B8,'قيود اليوميه'!E:E)</f>
        <v>0</v>
      </c>
      <c r="I8" s="5" t="str">
        <f t="shared" si="0"/>
        <v/>
      </c>
      <c r="J8" s="5" t="str">
        <f t="shared" si="1"/>
        <v/>
      </c>
    </row>
    <row r="9" spans="2:10" ht="21">
      <c r="B9" s="2">
        <v>2002</v>
      </c>
      <c r="C9" s="3" t="s">
        <v>263</v>
      </c>
      <c r="D9" s="3" t="s">
        <v>294</v>
      </c>
      <c r="E9" s="4"/>
      <c r="F9" s="4"/>
      <c r="G9" s="5">
        <f>SUMIF('قيود اليوميه'!J:J,الجهات!B9,'قيود اليوميه'!D:D)</f>
        <v>330000</v>
      </c>
      <c r="H9" s="5">
        <f>SUMIF('قيود اليوميه'!J:J,الجهات!B9,'قيود اليوميه'!E:E)</f>
        <v>50000</v>
      </c>
      <c r="I9" s="5">
        <f t="shared" si="0"/>
        <v>280000</v>
      </c>
      <c r="J9" s="5" t="str">
        <f t="shared" si="1"/>
        <v/>
      </c>
    </row>
    <row r="10" spans="2:10" ht="21">
      <c r="B10" s="2">
        <v>2003</v>
      </c>
      <c r="C10" s="3" t="s">
        <v>267</v>
      </c>
      <c r="D10" s="3" t="s">
        <v>294</v>
      </c>
      <c r="E10" s="4"/>
      <c r="F10" s="4"/>
      <c r="G10" s="5">
        <f>SUMIF('قيود اليوميه'!J:J,الجهات!B10,'قيود اليوميه'!D:D)</f>
        <v>0</v>
      </c>
      <c r="H10" s="5">
        <f>SUMIF('قيود اليوميه'!J:J,الجهات!B10,'قيود اليوميه'!E:E)</f>
        <v>0</v>
      </c>
      <c r="I10" s="5" t="str">
        <f t="shared" si="0"/>
        <v/>
      </c>
      <c r="J10" s="5" t="str">
        <f t="shared" si="1"/>
        <v/>
      </c>
    </row>
    <row r="11" spans="2:10" ht="21">
      <c r="B11" s="2">
        <v>3001</v>
      </c>
      <c r="C11" s="3" t="s">
        <v>295</v>
      </c>
      <c r="D11" s="3" t="s">
        <v>296</v>
      </c>
      <c r="E11" s="4"/>
      <c r="F11" s="4"/>
      <c r="G11" s="5">
        <f>SUMIF('قيود اليوميه'!J:J,الجهات!B11,'قيود اليوميه'!D:D)</f>
        <v>5000</v>
      </c>
      <c r="H11" s="5">
        <f>SUMIF('قيود اليوميه'!J:J,الجهات!B11,'قيود اليوميه'!E:E)</f>
        <v>1000</v>
      </c>
      <c r="I11" s="5">
        <f t="shared" si="0"/>
        <v>4000</v>
      </c>
      <c r="J11" s="5" t="str">
        <f t="shared" si="1"/>
        <v/>
      </c>
    </row>
    <row r="12" spans="2:10" ht="21">
      <c r="B12" s="2">
        <v>3002</v>
      </c>
      <c r="C12" s="3" t="s">
        <v>297</v>
      </c>
      <c r="D12" s="3" t="s">
        <v>296</v>
      </c>
      <c r="E12" s="4"/>
      <c r="F12" s="4"/>
      <c r="G12" s="5">
        <f>SUMIF('قيود اليوميه'!J:J,الجهات!B12,'قيود اليوميه'!D:D)</f>
        <v>0</v>
      </c>
      <c r="H12" s="5">
        <f>SUMIF('قيود اليوميه'!J:J,الجهات!B12,'قيود اليوميه'!E:E)</f>
        <v>0</v>
      </c>
      <c r="I12" s="5" t="str">
        <f t="shared" si="0"/>
        <v/>
      </c>
      <c r="J12" s="5" t="str">
        <f t="shared" si="1"/>
        <v/>
      </c>
    </row>
    <row r="13" spans="2:10" ht="24.75" customHeight="1">
      <c r="B13" s="71" t="s">
        <v>178</v>
      </c>
      <c r="C13" s="79"/>
      <c r="D13" s="79"/>
      <c r="E13" s="6">
        <f>SUBTOTAL(9,E5:E12)</f>
        <v>0</v>
      </c>
      <c r="F13" s="6">
        <f t="shared" ref="F13:J13" si="2">SUBTOTAL(9,F5:F12)</f>
        <v>0</v>
      </c>
      <c r="G13" s="6">
        <f t="shared" si="2"/>
        <v>435000</v>
      </c>
      <c r="H13" s="6">
        <f t="shared" si="2"/>
        <v>216000</v>
      </c>
      <c r="I13" s="6">
        <f t="shared" si="2"/>
        <v>284000</v>
      </c>
      <c r="J13" s="6">
        <f t="shared" si="2"/>
        <v>65000</v>
      </c>
    </row>
    <row r="20" spans="4:4">
      <c r="D20" s="70"/>
    </row>
  </sheetData>
  <autoFilter ref="B3:J12" xr:uid="{00000000-0009-0000-0000-000008000000}"/>
  <mergeCells count="7">
    <mergeCell ref="E3:F3"/>
    <mergeCell ref="G3:H3"/>
    <mergeCell ref="I3:J3"/>
    <mergeCell ref="B13:D13"/>
    <mergeCell ref="B3:B4"/>
    <mergeCell ref="C3:C4"/>
    <mergeCell ref="D3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E16"/>
  <sheetViews>
    <sheetView rightToLeft="1" zoomScale="130" zoomScaleNormal="130" workbookViewId="0">
      <selection activeCell="I16" sqref="I16"/>
    </sheetView>
  </sheetViews>
  <sheetFormatPr defaultColWidth="9" defaultRowHeight="15"/>
  <cols>
    <col min="3" max="3" width="31.5703125" customWidth="1"/>
    <col min="4" max="4" width="17.140625" customWidth="1"/>
  </cols>
  <sheetData>
    <row r="3" spans="3:5" ht="21">
      <c r="C3" s="28" t="s">
        <v>219</v>
      </c>
      <c r="D3" s="29"/>
      <c r="E3" s="29"/>
    </row>
    <row r="5" spans="3:5" ht="21">
      <c r="C5" s="22" t="s">
        <v>220</v>
      </c>
      <c r="D5" s="22">
        <v>2025</v>
      </c>
      <c r="E5" s="37"/>
    </row>
    <row r="6" spans="3:5" ht="21">
      <c r="C6" s="31" t="s">
        <v>109</v>
      </c>
      <c r="D6" s="38">
        <f>SUMIF('ميزان المراجعه'!$Q:$Q,'قائمه الدخل'!C6,'ميزان المراجعه'!O:O)</f>
        <v>300000</v>
      </c>
    </row>
    <row r="7" spans="3:5" ht="21">
      <c r="C7" s="31" t="s">
        <v>135</v>
      </c>
      <c r="D7" s="38">
        <f>SUMIF('ميزان المراجعه'!$Q:$Q,'قائمه الدخل'!C7,'ميزان المراجعه'!O:O)</f>
        <v>-150000</v>
      </c>
    </row>
    <row r="8" spans="3:5" ht="21">
      <c r="C8" s="39" t="s">
        <v>221</v>
      </c>
      <c r="D8" s="40">
        <f>SUM(D6:D7)</f>
        <v>150000</v>
      </c>
      <c r="E8" s="41">
        <f>D8/$D$6</f>
        <v>0.5</v>
      </c>
    </row>
    <row r="9" spans="3:5" ht="21">
      <c r="C9" s="31" t="s">
        <v>148</v>
      </c>
      <c r="D9" s="38">
        <f>SUMIF('ميزان المراجعه'!$Q:$Q,'قائمه الدخل'!C9,'ميزان المراجعه'!O:O)</f>
        <v>-47500</v>
      </c>
      <c r="E9" s="42"/>
    </row>
    <row r="10" spans="3:5" ht="21">
      <c r="C10" s="43" t="s">
        <v>222</v>
      </c>
      <c r="D10" s="40">
        <f>SUM(D8:D9)</f>
        <v>102500</v>
      </c>
      <c r="E10" s="41">
        <f>D10/$D$6</f>
        <v>0.34166666666666667</v>
      </c>
    </row>
    <row r="11" spans="3:5" ht="21">
      <c r="C11" s="31" t="s">
        <v>164</v>
      </c>
      <c r="D11" s="38">
        <f>SUMIF('ميزان المراجعه'!$Q:$Q,'قائمه الدخل'!C11,'ميزان المراجعه'!O:O)</f>
        <v>0</v>
      </c>
      <c r="E11" s="42"/>
    </row>
    <row r="12" spans="3:5" ht="21">
      <c r="C12" s="36" t="s">
        <v>160</v>
      </c>
      <c r="D12" s="38">
        <f>SUMIF('ميزان المراجعه'!$Q:$Q,'قائمه الدخل'!C12,'ميزان المراجعه'!O:O)</f>
        <v>-8900</v>
      </c>
      <c r="E12" s="42"/>
    </row>
    <row r="13" spans="3:5" ht="21">
      <c r="C13" s="31" t="s">
        <v>122</v>
      </c>
      <c r="D13" s="38">
        <f>SUMIF('ميزان المراجعه'!$Q:$Q,'قائمه الدخل'!C13,'ميزان المراجعه'!O:O)</f>
        <v>0</v>
      </c>
      <c r="E13" s="42"/>
    </row>
    <row r="14" spans="3:5" ht="21">
      <c r="C14" s="43" t="s">
        <v>223</v>
      </c>
      <c r="D14" s="40">
        <f>SUM(D10:D13)</f>
        <v>93600</v>
      </c>
      <c r="E14" s="41">
        <f>D14/$D$6</f>
        <v>0.312</v>
      </c>
    </row>
    <row r="15" spans="3:5" ht="21">
      <c r="C15" s="31" t="s">
        <v>173</v>
      </c>
      <c r="D15" s="38">
        <f>SUMIF('ميزان المراجعه'!$Q:$Q,'قائمه الدخل'!C15,'ميزان المراجعه'!O:O)</f>
        <v>-20000</v>
      </c>
    </row>
    <row r="16" spans="3:5" ht="21">
      <c r="C16" s="44" t="s">
        <v>224</v>
      </c>
      <c r="D16" s="40">
        <f>SUM(D14:D15)</f>
        <v>73600</v>
      </c>
      <c r="E16" s="41">
        <f>D16/$D$6</f>
        <v>0.24533333333333332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H35"/>
  <sheetViews>
    <sheetView rightToLeft="1" zoomScale="62" zoomScaleNormal="62" workbookViewId="0">
      <selection activeCell="N8" sqref="N8"/>
    </sheetView>
  </sheetViews>
  <sheetFormatPr defaultColWidth="9" defaultRowHeight="15"/>
  <cols>
    <col min="3" max="3" width="36.5703125" customWidth="1"/>
    <col min="4" max="4" width="19.5703125" customWidth="1"/>
  </cols>
  <sheetData>
    <row r="3" spans="2:8" ht="23.25">
      <c r="B3" s="80" t="s">
        <v>225</v>
      </c>
      <c r="C3" s="80"/>
      <c r="D3" s="80"/>
    </row>
    <row r="5" spans="2:8" ht="21">
      <c r="C5" s="22" t="s">
        <v>17</v>
      </c>
      <c r="D5" s="30" t="s">
        <v>226</v>
      </c>
    </row>
    <row r="6" spans="2:8" ht="21">
      <c r="C6" s="31" t="s">
        <v>18</v>
      </c>
      <c r="D6" s="32">
        <f>SUMIF('ميزان المراجعه'!$P:$P,'قائمه المركز المالي'!C6,'ميزان المراجعه'!$O:$O)*-1</f>
        <v>208750</v>
      </c>
    </row>
    <row r="7" spans="2:8" ht="21">
      <c r="C7" s="31" t="s">
        <v>26</v>
      </c>
      <c r="D7" s="32">
        <f>SUMIF('ميزان المراجعه'!$P:$P,'قائمه المركز المالي'!C7,'ميزان المراجعه'!$O:$O)*-1</f>
        <v>0</v>
      </c>
    </row>
    <row r="8" spans="2:8" ht="21">
      <c r="C8" s="31" t="s">
        <v>29</v>
      </c>
      <c r="D8" s="32">
        <f>SUMIF('ميزان المراجعه'!$P:$P,'قائمه المركز المالي'!C8,'ميزان المراجعه'!$O:$O)*-1</f>
        <v>0</v>
      </c>
    </row>
    <row r="9" spans="2:8" ht="21">
      <c r="C9" s="33" t="s">
        <v>227</v>
      </c>
      <c r="D9" s="33">
        <f>SUM(D6:D8)</f>
        <v>208750</v>
      </c>
    </row>
    <row r="10" spans="2:8" ht="21">
      <c r="C10" s="22" t="s">
        <v>31</v>
      </c>
      <c r="D10" s="34"/>
    </row>
    <row r="11" spans="2:8" ht="21">
      <c r="C11" s="31" t="s">
        <v>34</v>
      </c>
      <c r="D11" s="32">
        <f>SUMIF('ميزان المراجعه'!$P:$P,'قائمه المركز المالي'!C11,'ميزان المراجعه'!$O:$O)*-1</f>
        <v>1520850</v>
      </c>
    </row>
    <row r="12" spans="2:8" ht="21">
      <c r="C12" s="31" t="s">
        <v>40</v>
      </c>
      <c r="D12" s="32">
        <f>SUMIF('ميزان المراجعه'!$P:$P,'قائمه المركز المالي'!C12,'ميزان المراجعه'!$O:$O)*-1</f>
        <v>280000</v>
      </c>
      <c r="H12" s="35"/>
    </row>
    <row r="13" spans="2:8" ht="21">
      <c r="C13" s="31" t="s">
        <v>43</v>
      </c>
      <c r="D13" s="32">
        <f>SUMIF('ميزان المراجعه'!$P:$P,'قائمه المركز المالي'!C13,'ميزان المراجعه'!$O:$O)*-1</f>
        <v>135000</v>
      </c>
    </row>
    <row r="14" spans="2:8" ht="21">
      <c r="C14" s="31" t="s">
        <v>49</v>
      </c>
      <c r="D14" s="32">
        <f>SUMIF('ميزان المراجعه'!$P:$P,'قائمه المركز المالي'!C14,'ميزان المراجعه'!$O:$O)*-1</f>
        <v>4000</v>
      </c>
    </row>
    <row r="15" spans="2:8" ht="21">
      <c r="C15" s="33" t="s">
        <v>228</v>
      </c>
      <c r="D15" s="33">
        <f>SUM(D11:D14)</f>
        <v>1939850</v>
      </c>
    </row>
    <row r="16" spans="2:8" ht="21">
      <c r="C16" s="33" t="s">
        <v>229</v>
      </c>
      <c r="D16" s="33">
        <f>D15+D9</f>
        <v>2148600</v>
      </c>
    </row>
    <row r="17" spans="3:4" ht="21">
      <c r="C17" s="22" t="s">
        <v>59</v>
      </c>
      <c r="D17" s="34"/>
    </row>
    <row r="18" spans="3:4" ht="21">
      <c r="C18" s="31" t="s">
        <v>60</v>
      </c>
      <c r="D18" s="32">
        <f>SUMIF('ميزان المراجعه'!$P:$P,'قائمه المركز المالي'!C18,'ميزان المراجعه'!$O:$O)</f>
        <v>2000000</v>
      </c>
    </row>
    <row r="19" spans="3:4" ht="21">
      <c r="C19" s="31" t="s">
        <v>61</v>
      </c>
      <c r="D19" s="32"/>
    </row>
    <row r="20" spans="3:4" ht="21">
      <c r="C20" s="36" t="s">
        <v>63</v>
      </c>
      <c r="D20" s="32">
        <f>'قائمه الدخل'!D16</f>
        <v>73600</v>
      </c>
    </row>
    <row r="21" spans="3:4" ht="21">
      <c r="C21" s="33" t="s">
        <v>230</v>
      </c>
      <c r="D21" s="33">
        <f>SUM(D17:D20)</f>
        <v>2073600</v>
      </c>
    </row>
    <row r="22" spans="3:4" ht="21">
      <c r="C22" s="22" t="s">
        <v>65</v>
      </c>
      <c r="D22" s="34"/>
    </row>
    <row r="23" spans="3:4" ht="21">
      <c r="C23" s="31" t="s">
        <v>66</v>
      </c>
      <c r="D23" s="32">
        <f>SUMIF('ميزان المراجعه'!$P:$P,'قائمه المركز المالي'!C23,'ميزان المراجعه'!$O:$O)</f>
        <v>0</v>
      </c>
    </row>
    <row r="24" spans="3:4" ht="21">
      <c r="C24" s="31" t="s">
        <v>78</v>
      </c>
      <c r="D24" s="32">
        <f>SUMIF('ميزان المراجعه'!$P:$P,'قائمه المركز المالي'!C24,'ميزان المراجعه'!$O:$O)</f>
        <v>0</v>
      </c>
    </row>
    <row r="25" spans="3:4" ht="21">
      <c r="C25" s="31" t="s">
        <v>80</v>
      </c>
      <c r="D25" s="32">
        <f>SUMIF('ميزان المراجعه'!$P:$P,'قائمه المركز المالي'!C25,'ميزان المراجعه'!$O:$O)</f>
        <v>0</v>
      </c>
    </row>
    <row r="26" spans="3:4" ht="21">
      <c r="C26" s="31" t="s">
        <v>81</v>
      </c>
      <c r="D26" s="32">
        <f>SUMIF('ميزان المراجعه'!$P:$P,'قائمه المركز المالي'!C26,'ميزان المراجعه'!$O:$O)</f>
        <v>0</v>
      </c>
    </row>
    <row r="27" spans="3:4" ht="21">
      <c r="C27" s="33" t="s">
        <v>231</v>
      </c>
      <c r="D27" s="33">
        <f>SUM(D22:D26)</f>
        <v>0</v>
      </c>
    </row>
    <row r="28" spans="3:4" ht="21">
      <c r="C28" s="22" t="s">
        <v>83</v>
      </c>
      <c r="D28" s="34"/>
    </row>
    <row r="29" spans="3:4" ht="21">
      <c r="C29" s="31" t="s">
        <v>84</v>
      </c>
      <c r="D29" s="32">
        <f>SUMIF('ميزان المراجعه'!$P:$P,'قائمه المركز المالي'!C29,'ميزان المراجعه'!$O:$O)</f>
        <v>65000</v>
      </c>
    </row>
    <row r="30" spans="3:4" ht="21">
      <c r="C30" s="31" t="s">
        <v>89</v>
      </c>
      <c r="D30" s="32">
        <f>SUMIF('ميزان المراجعه'!$P:$P,'قائمه المركز المالي'!C30,'ميزان المراجعه'!$O:$O)</f>
        <v>0</v>
      </c>
    </row>
    <row r="31" spans="3:4" ht="21">
      <c r="C31" s="31" t="s">
        <v>94</v>
      </c>
      <c r="D31" s="32">
        <f>SUMIF('ميزان المراجعه'!$P:$P,'قائمه المركز المالي'!C31,'ميزان المراجعه'!$O:$O)</f>
        <v>10000</v>
      </c>
    </row>
    <row r="32" spans="3:4" ht="21">
      <c r="C32" s="31" t="s">
        <v>99</v>
      </c>
      <c r="D32" s="32">
        <f>SUMIF('ميزان المراجعه'!$P:$P,'قائمه المركز المالي'!C32,'ميزان المراجعه'!$O:$O)</f>
        <v>0</v>
      </c>
    </row>
    <row r="33" spans="3:4" ht="21">
      <c r="C33" s="31" t="s">
        <v>103</v>
      </c>
      <c r="D33" s="32">
        <f>SUMIF('ميزان المراجعه'!$P:$P,'قائمه المركز المالي'!C33,'ميزان المراجعه'!$O:$O)</f>
        <v>0</v>
      </c>
    </row>
    <row r="34" spans="3:4" ht="21">
      <c r="C34" s="33" t="s">
        <v>232</v>
      </c>
      <c r="D34" s="33">
        <f>SUM(D29:D33)</f>
        <v>75000</v>
      </c>
    </row>
    <row r="35" spans="3:4" ht="21">
      <c r="C35" s="33" t="s">
        <v>233</v>
      </c>
      <c r="D35" s="33">
        <f>D34+D27+D21</f>
        <v>2148600</v>
      </c>
    </row>
  </sheetData>
  <mergeCells count="1">
    <mergeCell ref="B3: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T26"/>
  <sheetViews>
    <sheetView rightToLeft="1" tabSelected="1" zoomScale="53" zoomScaleNormal="53" workbookViewId="0">
      <selection activeCell="R34" sqref="R34"/>
    </sheetView>
  </sheetViews>
  <sheetFormatPr defaultColWidth="9" defaultRowHeight="15"/>
  <cols>
    <col min="2" max="2" width="15.7109375" customWidth="1"/>
    <col min="3" max="3" width="16.42578125" customWidth="1"/>
    <col min="4" max="4" width="17.42578125" customWidth="1"/>
    <col min="5" max="5" width="12.85546875" customWidth="1"/>
    <col min="6" max="6" width="19.42578125" customWidth="1"/>
    <col min="7" max="7" width="18.85546875" customWidth="1"/>
    <col min="8" max="8" width="19.5703125" customWidth="1"/>
    <col min="9" max="9" width="16.7109375" customWidth="1"/>
    <col min="10" max="10" width="12.28515625" customWidth="1"/>
    <col min="11" max="11" width="14" customWidth="1"/>
    <col min="12" max="12" width="17" customWidth="1"/>
    <col min="13" max="13" width="21.140625" customWidth="1"/>
    <col min="14" max="15" width="24" customWidth="1"/>
    <col min="16" max="16" width="22.5703125" customWidth="1"/>
    <col min="17" max="17" width="17.28515625" customWidth="1"/>
    <col min="18" max="18" width="19.28515625" customWidth="1"/>
    <col min="19" max="19" width="16.5703125" customWidth="1"/>
    <col min="20" max="20" width="12.42578125" customWidth="1"/>
  </cols>
  <sheetData>
    <row r="2" spans="2:20" ht="14.25" customHeight="1"/>
    <row r="3" spans="2:20" hidden="1"/>
    <row r="4" spans="2:20" ht="30.75" customHeight="1">
      <c r="B4" s="22" t="s">
        <v>234</v>
      </c>
      <c r="C4" s="22" t="s">
        <v>235</v>
      </c>
      <c r="D4" s="22" t="s">
        <v>180</v>
      </c>
      <c r="E4" s="23" t="s">
        <v>236</v>
      </c>
      <c r="F4" s="22" t="s">
        <v>237</v>
      </c>
      <c r="G4" s="23" t="s">
        <v>238</v>
      </c>
      <c r="H4" s="23" t="s">
        <v>239</v>
      </c>
      <c r="I4" s="22" t="s">
        <v>240</v>
      </c>
      <c r="J4" s="22" t="s">
        <v>241</v>
      </c>
      <c r="K4" s="22" t="s">
        <v>242</v>
      </c>
      <c r="L4" s="23" t="s">
        <v>243</v>
      </c>
      <c r="M4" s="22" t="s">
        <v>244</v>
      </c>
      <c r="N4" s="23" t="s">
        <v>245</v>
      </c>
      <c r="O4" s="23" t="s">
        <v>246</v>
      </c>
      <c r="P4" s="22" t="s">
        <v>247</v>
      </c>
      <c r="Q4" s="23" t="s">
        <v>248</v>
      </c>
      <c r="R4" s="22" t="s">
        <v>249</v>
      </c>
      <c r="S4" s="22" t="s">
        <v>250</v>
      </c>
      <c r="T4" s="23" t="s">
        <v>251</v>
      </c>
    </row>
    <row r="5" spans="2:20" ht="21">
      <c r="B5" s="8">
        <v>10001</v>
      </c>
      <c r="C5" s="8" t="s">
        <v>252</v>
      </c>
      <c r="D5" s="9">
        <v>45667</v>
      </c>
      <c r="E5" s="23" t="str">
        <f>IF(D5&lt;&gt;"",TEXT(D5,"mmmm"),"")</f>
        <v>January</v>
      </c>
      <c r="F5" s="8">
        <v>10001</v>
      </c>
      <c r="G5" s="23" t="str">
        <f>IF(F5&lt;&gt;"",VLOOKUP(F5,'العملاءوالموردون والاصناف'!$D$3:$F$6,2,FALSE),"")</f>
        <v>صنف1</v>
      </c>
      <c r="H5" s="23" t="str">
        <f>IF(F5&lt;&gt;"",VLOOKUP(F5,'العملاءوالموردون والاصناف'!$D$3:$F$6,3,FALSE),"")</f>
        <v>متر</v>
      </c>
      <c r="I5" s="8">
        <v>0</v>
      </c>
      <c r="J5" s="8">
        <v>150</v>
      </c>
      <c r="K5" s="8">
        <v>0</v>
      </c>
      <c r="L5" s="24">
        <f>I5+J5-K5</f>
        <v>150</v>
      </c>
      <c r="M5" s="25">
        <v>300</v>
      </c>
      <c r="N5" s="26">
        <f>M5*L5</f>
        <v>45000</v>
      </c>
      <c r="O5" s="26">
        <f>IFERROR(N5/L5,"")</f>
        <v>300</v>
      </c>
      <c r="P5" s="8">
        <v>20002</v>
      </c>
      <c r="Q5" s="23" t="str">
        <f>IF(P5&lt;&gt;"",VLOOKUP(P5,'العملاءوالموردون والاصناف'!$I$3:$J$6,2,FALSE),"")</f>
        <v>المورد رقم1</v>
      </c>
      <c r="R5" s="8"/>
      <c r="S5" s="8"/>
      <c r="T5" s="23"/>
    </row>
    <row r="6" spans="2:20" ht="21">
      <c r="B6" s="8">
        <v>10002</v>
      </c>
      <c r="C6" s="8" t="s">
        <v>252</v>
      </c>
      <c r="D6" s="9">
        <v>45698</v>
      </c>
      <c r="E6" s="23" t="str">
        <f t="shared" ref="E6:E24" si="0">IF(D6&lt;&gt;"",TEXT(D6,"mmmm"),"")</f>
        <v>February</v>
      </c>
      <c r="F6" s="8">
        <v>10001</v>
      </c>
      <c r="G6" s="23" t="str">
        <f>IF(F6&lt;&gt;"",VLOOKUP(F6,'العملاءوالموردون والاصناف'!$D$3:$F$6,2,FALSE),"")</f>
        <v>صنف1</v>
      </c>
      <c r="H6" s="23" t="str">
        <f>IF(F6&lt;&gt;"",VLOOKUP(F6,'العملاءوالموردون والاصناف'!$D$3:$F$6,3,FALSE),"")</f>
        <v>متر</v>
      </c>
      <c r="I6" s="8">
        <v>0</v>
      </c>
      <c r="J6" s="8">
        <v>100</v>
      </c>
      <c r="K6" s="8">
        <v>0</v>
      </c>
      <c r="L6" s="24">
        <f t="shared" ref="L6:L24" si="1">I6+J6-K6</f>
        <v>100</v>
      </c>
      <c r="M6" s="25">
        <v>300</v>
      </c>
      <c r="N6" s="26">
        <f t="shared" ref="N6:N24" si="2">M6*L6</f>
        <v>30000</v>
      </c>
      <c r="O6" s="26">
        <f t="shared" ref="O6:O24" si="3">IFERROR(N6/L6,"")</f>
        <v>300</v>
      </c>
      <c r="P6" s="8">
        <v>20002</v>
      </c>
      <c r="Q6" s="23" t="str">
        <f>IF(P6&lt;&gt;"",VLOOKUP(P6,'العملاءوالموردون والاصناف'!$I$3:$J$6,2,FALSE),"")</f>
        <v>المورد رقم1</v>
      </c>
      <c r="R6" s="8"/>
      <c r="S6" s="8"/>
      <c r="T6" s="23" t="str">
        <f>IF(S6&lt;&gt;"",VLOOKUP(S6,'العملاءوالموردون والاصناف'!$M$3:$N$6,2,FALSE),"")</f>
        <v/>
      </c>
    </row>
    <row r="7" spans="2:20" ht="21">
      <c r="B7" s="8">
        <v>10003</v>
      </c>
      <c r="C7" s="8" t="s">
        <v>252</v>
      </c>
      <c r="D7" s="9">
        <v>45726</v>
      </c>
      <c r="E7" s="23" t="str">
        <f t="shared" si="0"/>
        <v>March</v>
      </c>
      <c r="F7" s="8">
        <v>10002</v>
      </c>
      <c r="G7" s="23" t="str">
        <f>IF(F7&lt;&gt;"",VLOOKUP(F7,'العملاءوالموردون والاصناف'!$D$3:$F$6,2,FALSE),"")</f>
        <v>صنف2</v>
      </c>
      <c r="H7" s="23" t="str">
        <f>IF(F7&lt;&gt;"",VLOOKUP(F7,'العملاءوالموردون والاصناف'!$D$3:$F$6,3,FALSE),"")</f>
        <v>كيلو</v>
      </c>
      <c r="I7" s="8">
        <v>0</v>
      </c>
      <c r="J7" s="8">
        <v>100</v>
      </c>
      <c r="K7" s="8">
        <v>0</v>
      </c>
      <c r="L7" s="24">
        <f t="shared" si="1"/>
        <v>100</v>
      </c>
      <c r="M7" s="25">
        <v>250</v>
      </c>
      <c r="N7" s="26">
        <f t="shared" si="2"/>
        <v>25000</v>
      </c>
      <c r="O7" s="26">
        <f t="shared" si="3"/>
        <v>250</v>
      </c>
      <c r="P7" s="8">
        <v>20003</v>
      </c>
      <c r="Q7" s="23" t="str">
        <f>IF(P7&lt;&gt;"",VLOOKUP(P7,'العملاءوالموردون والاصناف'!$I$3:$J$6,2,FALSE),"")</f>
        <v>المورد رقم2</v>
      </c>
      <c r="R7" s="8"/>
      <c r="S7" s="8"/>
      <c r="T7" s="23" t="str">
        <f>IF(S7&lt;&gt;"",VLOOKUP(S7,'العملاءوالموردون والاصناف'!$M$3:$N$6,2,FALSE),"")</f>
        <v/>
      </c>
    </row>
    <row r="8" spans="2:20" ht="21">
      <c r="B8" s="8">
        <v>10004</v>
      </c>
      <c r="C8" s="8" t="s">
        <v>252</v>
      </c>
      <c r="D8" s="9">
        <v>45727</v>
      </c>
      <c r="E8" s="23" t="str">
        <f t="shared" si="0"/>
        <v>March</v>
      </c>
      <c r="F8" s="8">
        <v>10003</v>
      </c>
      <c r="G8" s="23" t="str">
        <f>IF(F8&lt;&gt;"",VLOOKUP(F8,'العملاءوالموردون والاصناف'!$D$3:$F$6,2,FALSE),"")</f>
        <v>صنف3</v>
      </c>
      <c r="H8" s="23" t="str">
        <f>IF(F8&lt;&gt;"",VLOOKUP(F8,'العملاءوالموردون والاصناف'!$D$3:$F$6,3,FALSE),"")</f>
        <v>حبه</v>
      </c>
      <c r="I8" s="8">
        <v>0</v>
      </c>
      <c r="J8" s="8">
        <v>100</v>
      </c>
      <c r="K8" s="8">
        <v>0</v>
      </c>
      <c r="L8" s="24">
        <f t="shared" si="1"/>
        <v>100</v>
      </c>
      <c r="M8" s="25">
        <v>250</v>
      </c>
      <c r="N8" s="26">
        <f t="shared" si="2"/>
        <v>25000</v>
      </c>
      <c r="O8" s="26">
        <f t="shared" si="3"/>
        <v>250</v>
      </c>
      <c r="P8" s="8">
        <v>20003</v>
      </c>
      <c r="Q8" s="23" t="str">
        <f>IF(P8&lt;&gt;"",VLOOKUP(P8,'العملاءوالموردون والاصناف'!$I$3:$J$6,2,FALSE),"")</f>
        <v>المورد رقم2</v>
      </c>
      <c r="R8" s="8"/>
      <c r="S8" s="8"/>
      <c r="T8" s="23" t="str">
        <f>IF(S8&lt;&gt;"",VLOOKUP(S8,'العملاءوالموردون والاصناف'!$M$3:$N$6,2,FALSE),"")</f>
        <v/>
      </c>
    </row>
    <row r="9" spans="2:20" ht="21">
      <c r="B9" s="8">
        <v>10005</v>
      </c>
      <c r="C9" s="8" t="s">
        <v>252</v>
      </c>
      <c r="D9" s="9">
        <v>45759</v>
      </c>
      <c r="E9" s="23" t="str">
        <f t="shared" si="0"/>
        <v>April</v>
      </c>
      <c r="F9" s="8">
        <v>10001</v>
      </c>
      <c r="G9" s="23" t="str">
        <f>IF(F9&lt;&gt;"",VLOOKUP(F9,'العملاءوالموردون والاصناف'!$D$3:$F$6,2,FALSE),"")</f>
        <v>صنف1</v>
      </c>
      <c r="H9" s="23" t="str">
        <f>IF(F9&lt;&gt;"",VLOOKUP(F9,'العملاءوالموردون والاصناف'!$D$3:$F$6,3,FALSE),"")</f>
        <v>متر</v>
      </c>
      <c r="I9" s="8">
        <v>0</v>
      </c>
      <c r="J9" s="8">
        <v>125</v>
      </c>
      <c r="K9" s="8">
        <v>0</v>
      </c>
      <c r="L9" s="24">
        <f t="shared" si="1"/>
        <v>125</v>
      </c>
      <c r="M9" s="25">
        <v>200</v>
      </c>
      <c r="N9" s="26">
        <f>M9*L9</f>
        <v>25000</v>
      </c>
      <c r="O9" s="26">
        <f t="shared" si="3"/>
        <v>200</v>
      </c>
      <c r="P9" s="8">
        <v>20004</v>
      </c>
      <c r="Q9" s="23" t="str">
        <f>IF(P9&lt;&gt;"",VLOOKUP(P9,'العملاءوالموردون والاصناف'!$I$3:$J$6,2,FALSE),"")</f>
        <v>المورد رقم3</v>
      </c>
      <c r="R9" s="8"/>
      <c r="S9" s="8"/>
      <c r="T9" s="23" t="str">
        <f>IF(S9&lt;&gt;"",VLOOKUP(S9,'العملاءوالموردون والاصناف'!$M$3:$N$6,2,FALSE),"")</f>
        <v/>
      </c>
    </row>
    <row r="10" spans="2:20" ht="21">
      <c r="B10" s="8">
        <v>10006</v>
      </c>
      <c r="C10" s="8" t="s">
        <v>253</v>
      </c>
      <c r="D10" s="9">
        <v>45790</v>
      </c>
      <c r="E10" s="23" t="str">
        <f t="shared" si="0"/>
        <v>May</v>
      </c>
      <c r="F10" s="8">
        <v>10001</v>
      </c>
      <c r="G10" s="23" t="str">
        <f>IF(F10&lt;&gt;"",VLOOKUP(F10,'العملاءوالموردون والاصناف'!$D$3:$F$6,2,FALSE),"")</f>
        <v>صنف1</v>
      </c>
      <c r="H10" s="23" t="str">
        <f>IF(F10&lt;&gt;"",VLOOKUP(F10,'العملاءوالموردون والاصناف'!$D$3:$F$6,3,FALSE),"")</f>
        <v>متر</v>
      </c>
      <c r="I10" s="8">
        <v>0</v>
      </c>
      <c r="J10" s="8"/>
      <c r="K10" s="8">
        <v>200</v>
      </c>
      <c r="L10" s="24">
        <f t="shared" si="1"/>
        <v>-200</v>
      </c>
      <c r="M10" s="25">
        <v>266.66666666666669</v>
      </c>
      <c r="N10" s="26">
        <f>M10*L10</f>
        <v>-53333.333333333336</v>
      </c>
      <c r="O10" s="26">
        <f t="shared" si="3"/>
        <v>266.66666666666669</v>
      </c>
      <c r="P10" s="8"/>
      <c r="Q10" s="23" t="str">
        <f>IF(P10&lt;&gt;"",VLOOKUP(P10,'العملاءوالموردون والاصناف'!$I$3:$J$6,2,FALSE),"")</f>
        <v/>
      </c>
      <c r="R10" s="8">
        <v>50001</v>
      </c>
      <c r="S10" s="8">
        <v>30003</v>
      </c>
      <c r="T10" s="23" t="str">
        <f>IF(S10&lt;&gt;"",VLOOKUP(S10,'العملاءوالموردون والاصناف'!$M$3:$N$6,2,FALSE),"")</f>
        <v>عميل 3</v>
      </c>
    </row>
    <row r="11" spans="2:20" ht="21">
      <c r="B11" s="8">
        <v>10007</v>
      </c>
      <c r="C11" s="8" t="s">
        <v>253</v>
      </c>
      <c r="D11" s="9">
        <v>45791</v>
      </c>
      <c r="E11" s="23" t="str">
        <f t="shared" si="0"/>
        <v>May</v>
      </c>
      <c r="F11" s="8">
        <v>10003</v>
      </c>
      <c r="G11" s="23" t="str">
        <f>IF(F11&lt;&gt;"",VLOOKUP(F11,'العملاءوالموردون والاصناف'!$D$3:$F$6,2,FALSE),"")</f>
        <v>صنف3</v>
      </c>
      <c r="H11" s="23" t="str">
        <f>IF(F11&lt;&gt;"",VLOOKUP(F11,'العملاءوالموردون والاصناف'!$D$3:$F$6,3,FALSE),"")</f>
        <v>حبه</v>
      </c>
      <c r="I11" s="8">
        <v>0</v>
      </c>
      <c r="J11" s="8"/>
      <c r="K11" s="8">
        <v>75</v>
      </c>
      <c r="L11" s="24">
        <f>I11+J11-K11</f>
        <v>-75</v>
      </c>
      <c r="M11" s="25">
        <v>250</v>
      </c>
      <c r="N11" s="26">
        <f>M11*L11</f>
        <v>-18750</v>
      </c>
      <c r="O11" s="26">
        <f>IFERROR(N11/L11,"")</f>
        <v>250</v>
      </c>
      <c r="P11" s="8"/>
      <c r="Q11" s="23"/>
      <c r="R11" s="8">
        <v>50003</v>
      </c>
      <c r="S11" s="8">
        <v>30002</v>
      </c>
      <c r="T11" s="23" t="str">
        <f>IF(S11&lt;&gt;"",VLOOKUP(S11,'العملاءوالموردون والاصناف'!$M$3:$N$6,2,FALSE),"")</f>
        <v>عميل 2</v>
      </c>
    </row>
    <row r="12" spans="2:20" ht="21">
      <c r="B12" s="8"/>
      <c r="C12" s="8"/>
      <c r="D12" s="8"/>
      <c r="E12" s="23" t="str">
        <f t="shared" si="0"/>
        <v/>
      </c>
      <c r="F12" s="8"/>
      <c r="G12" s="23" t="str">
        <f>IF(F12&lt;&gt;"",VLOOKUP(F12,'العملاءوالموردون والاصناف'!$D$3:$F$6,2,FALSE),"")</f>
        <v/>
      </c>
      <c r="H12" s="23" t="str">
        <f>IF(F12&lt;&gt;"",VLOOKUP(F12,'العملاءوالموردون والاصناف'!$D$3:$F$6,3,FALSE),"")</f>
        <v/>
      </c>
      <c r="I12" s="8"/>
      <c r="J12" s="8"/>
      <c r="K12" s="8"/>
      <c r="L12" s="24">
        <f t="shared" si="1"/>
        <v>0</v>
      </c>
      <c r="M12" s="25"/>
      <c r="N12" s="26">
        <f t="shared" si="2"/>
        <v>0</v>
      </c>
      <c r="O12" s="26" t="str">
        <f t="shared" si="3"/>
        <v/>
      </c>
      <c r="P12" s="8"/>
      <c r="Q12" s="23" t="str">
        <f>IF(P12&lt;&gt;"",VLOOKUP(P12,'العملاءوالموردون والاصناف'!$I$3:$J$6,2,FALSE),"")</f>
        <v/>
      </c>
      <c r="S12" s="8"/>
      <c r="T12" s="23" t="str">
        <f>IF(S12&lt;&gt;"",VLOOKUP(S12,'العملاءوالموردون والاصناف'!$M$3:$N$6,2,FALSE),"")</f>
        <v/>
      </c>
    </row>
    <row r="13" spans="2:20" ht="21">
      <c r="B13" s="8"/>
      <c r="C13" s="8"/>
      <c r="D13" s="8"/>
      <c r="E13" s="23" t="str">
        <f t="shared" si="0"/>
        <v/>
      </c>
      <c r="F13" s="8"/>
      <c r="G13" s="23" t="str">
        <f>IF(F13&lt;&gt;"",VLOOKUP(F13,'العملاءوالموردون والاصناف'!$D$3:$F$6,2,FALSE),"")</f>
        <v/>
      </c>
      <c r="H13" s="23" t="str">
        <f>IF(F13&lt;&gt;"",VLOOKUP(F13,'العملاءوالموردون والاصناف'!$D$3:$F$6,3,FALSE),"")</f>
        <v/>
      </c>
      <c r="I13" s="8"/>
      <c r="J13" s="8"/>
      <c r="K13" s="8"/>
      <c r="L13" s="24">
        <f t="shared" si="1"/>
        <v>0</v>
      </c>
      <c r="M13" s="25"/>
      <c r="N13" s="26">
        <f t="shared" si="2"/>
        <v>0</v>
      </c>
      <c r="O13" s="26" t="str">
        <f t="shared" si="3"/>
        <v/>
      </c>
      <c r="P13" s="8"/>
      <c r="Q13" s="23" t="str">
        <f>IF(P13&lt;&gt;"",VLOOKUP(P13,'العملاءوالموردون والاصناف'!$I$3:$J$6,2,FALSE),"")</f>
        <v/>
      </c>
      <c r="R13" s="8"/>
      <c r="S13" s="8"/>
      <c r="T13" s="23" t="str">
        <f>IF(S13&lt;&gt;"",VLOOKUP(S13,'العملاءوالموردون والاصناف'!$M$3:$N$6,2,FALSE),"")</f>
        <v/>
      </c>
    </row>
    <row r="14" spans="2:20" ht="21">
      <c r="B14" s="8"/>
      <c r="C14" s="8"/>
      <c r="D14" s="8"/>
      <c r="E14" s="23" t="str">
        <f t="shared" si="0"/>
        <v/>
      </c>
      <c r="F14" s="8"/>
      <c r="G14" s="23" t="str">
        <f>IF(F14&lt;&gt;"",VLOOKUP(F14,'العملاءوالموردون والاصناف'!$D$3:$F$6,2,FALSE),"")</f>
        <v/>
      </c>
      <c r="H14" s="23" t="str">
        <f>IF(F14&lt;&gt;"",VLOOKUP(F14,'العملاءوالموردون والاصناف'!$D$3:$F$6,3,FALSE),"")</f>
        <v/>
      </c>
      <c r="I14" s="8"/>
      <c r="J14" s="8"/>
      <c r="K14" s="8"/>
      <c r="L14" s="24">
        <f t="shared" si="1"/>
        <v>0</v>
      </c>
      <c r="M14" s="25"/>
      <c r="N14" s="26">
        <f t="shared" si="2"/>
        <v>0</v>
      </c>
      <c r="O14" s="26" t="str">
        <f t="shared" si="3"/>
        <v/>
      </c>
      <c r="P14" s="8"/>
      <c r="Q14" s="23" t="str">
        <f>IF(P14&lt;&gt;"",VLOOKUP(P14,'العملاءوالموردون والاصناف'!$I$3:$J$6,2,FALSE),"")</f>
        <v/>
      </c>
      <c r="R14" s="8"/>
      <c r="S14" s="8"/>
      <c r="T14" s="23" t="str">
        <f>IF(S14&lt;&gt;"",VLOOKUP(S14,'العملاءوالموردون والاصناف'!$M$3:$N$6,2,FALSE),"")</f>
        <v/>
      </c>
    </row>
    <row r="15" spans="2:20" ht="21">
      <c r="B15" s="8"/>
      <c r="C15" s="8"/>
      <c r="D15" s="8"/>
      <c r="E15" s="23" t="str">
        <f t="shared" si="0"/>
        <v/>
      </c>
      <c r="F15" s="8"/>
      <c r="G15" s="23" t="str">
        <f>IF(F15&lt;&gt;"",VLOOKUP(F15,'العملاءوالموردون والاصناف'!$D$3:$F$6,2,FALSE),"")</f>
        <v/>
      </c>
      <c r="H15" s="23" t="str">
        <f>IF(F15&lt;&gt;"",VLOOKUP(F15,'العملاءوالموردون والاصناف'!$D$3:$F$6,3,FALSE),"")</f>
        <v/>
      </c>
      <c r="I15" s="8"/>
      <c r="J15" s="8"/>
      <c r="K15" s="8"/>
      <c r="L15" s="24">
        <f t="shared" si="1"/>
        <v>0</v>
      </c>
      <c r="M15" s="25"/>
      <c r="N15" s="26">
        <f t="shared" si="2"/>
        <v>0</v>
      </c>
      <c r="O15" s="26" t="str">
        <f t="shared" si="3"/>
        <v/>
      </c>
      <c r="P15" s="8"/>
      <c r="Q15" s="23" t="str">
        <f>IF(P15&lt;&gt;"",VLOOKUP(P15,'العملاءوالموردون والاصناف'!$I$3:$J$6,2,FALSE),"")</f>
        <v/>
      </c>
      <c r="R15" s="8"/>
      <c r="S15" s="8"/>
      <c r="T15" s="23" t="str">
        <f>IF(S15&lt;&gt;"",VLOOKUP(S15,'العملاءوالموردون والاصناف'!$M$3:$N$6,2,FALSE),"")</f>
        <v/>
      </c>
    </row>
    <row r="16" spans="2:20" ht="21">
      <c r="B16" s="8"/>
      <c r="C16" s="8"/>
      <c r="D16" s="8"/>
      <c r="E16" s="23" t="str">
        <f t="shared" si="0"/>
        <v/>
      </c>
      <c r="F16" s="8"/>
      <c r="G16" s="23" t="str">
        <f>IF(F16&lt;&gt;"",VLOOKUP(F16,'العملاءوالموردون والاصناف'!$D$3:$F$6,2,FALSE),"")</f>
        <v/>
      </c>
      <c r="H16" s="23" t="str">
        <f>IF(F16&lt;&gt;"",VLOOKUP(F16,'العملاءوالموردون والاصناف'!$D$3:$F$6,3,FALSE),"")</f>
        <v/>
      </c>
      <c r="I16" s="8"/>
      <c r="J16" s="8"/>
      <c r="K16" s="8"/>
      <c r="L16" s="24">
        <f t="shared" si="1"/>
        <v>0</v>
      </c>
      <c r="M16" s="25"/>
      <c r="N16" s="26">
        <f t="shared" si="2"/>
        <v>0</v>
      </c>
      <c r="O16" s="26" t="str">
        <f t="shared" si="3"/>
        <v/>
      </c>
      <c r="P16" s="8"/>
      <c r="Q16" s="23" t="str">
        <f>IF(P16&lt;&gt;"",VLOOKUP(P16,'العملاءوالموردون والاصناف'!$I$3:$J$6,2,FALSE),"")</f>
        <v/>
      </c>
      <c r="R16" s="8"/>
      <c r="S16" s="8"/>
      <c r="T16" s="23" t="str">
        <f>IF(S16&lt;&gt;"",VLOOKUP(S16,'العملاءوالموردون والاصناف'!$M$3:$N$6,2,FALSE),"")</f>
        <v/>
      </c>
    </row>
    <row r="17" spans="2:20" ht="21">
      <c r="B17" s="8"/>
      <c r="C17" s="8"/>
      <c r="D17" s="8"/>
      <c r="E17" s="23" t="str">
        <f t="shared" si="0"/>
        <v/>
      </c>
      <c r="F17" s="8"/>
      <c r="G17" s="23" t="str">
        <f>IF(F17&lt;&gt;"",VLOOKUP(F17,'العملاءوالموردون والاصناف'!$D$3:$F$6,2,FALSE),"")</f>
        <v/>
      </c>
      <c r="H17" s="23" t="str">
        <f>IF(F17&lt;&gt;"",VLOOKUP(F17,'العملاءوالموردون والاصناف'!$D$3:$F$6,3,FALSE),"")</f>
        <v/>
      </c>
      <c r="I17" s="8"/>
      <c r="J17" s="8"/>
      <c r="K17" s="8"/>
      <c r="L17" s="24">
        <f t="shared" si="1"/>
        <v>0</v>
      </c>
      <c r="M17" s="25"/>
      <c r="N17" s="26">
        <f t="shared" si="2"/>
        <v>0</v>
      </c>
      <c r="O17" s="26" t="str">
        <f t="shared" si="3"/>
        <v/>
      </c>
      <c r="P17" s="8"/>
      <c r="Q17" s="23" t="str">
        <f>IF(P17&lt;&gt;"",VLOOKUP(P17,'العملاءوالموردون والاصناف'!$I$3:$J$6,2,FALSE),"")</f>
        <v/>
      </c>
      <c r="R17" s="8"/>
      <c r="S17" s="8"/>
      <c r="T17" s="23" t="str">
        <f>IF(S17&lt;&gt;"",VLOOKUP(S17,'العملاءوالموردون والاصناف'!$M$3:$N$6,2,FALSE),"")</f>
        <v/>
      </c>
    </row>
    <row r="18" spans="2:20" ht="21">
      <c r="B18" s="8"/>
      <c r="C18" s="8"/>
      <c r="D18" s="8"/>
      <c r="E18" s="23" t="str">
        <f t="shared" si="0"/>
        <v/>
      </c>
      <c r="F18" s="8"/>
      <c r="G18" s="23" t="str">
        <f>IF(F18&lt;&gt;"",VLOOKUP(F18,'العملاءوالموردون والاصناف'!$D$3:$F$6,2,FALSE),"")</f>
        <v/>
      </c>
      <c r="H18" s="23" t="str">
        <f>IF(F18&lt;&gt;"",VLOOKUP(F18,'العملاءوالموردون والاصناف'!$D$3:$F$6,3,FALSE),"")</f>
        <v/>
      </c>
      <c r="I18" s="8"/>
      <c r="J18" s="8"/>
      <c r="K18" s="8"/>
      <c r="L18" s="24">
        <f t="shared" si="1"/>
        <v>0</v>
      </c>
      <c r="M18" s="25"/>
      <c r="N18" s="26">
        <f t="shared" si="2"/>
        <v>0</v>
      </c>
      <c r="O18" s="26" t="str">
        <f t="shared" si="3"/>
        <v/>
      </c>
      <c r="P18" s="8"/>
      <c r="Q18" s="23" t="str">
        <f>IF(P18&lt;&gt;"",VLOOKUP(P18,'العملاءوالموردون والاصناف'!$I$3:$J$6,2,FALSE),"")</f>
        <v/>
      </c>
      <c r="R18" s="8"/>
      <c r="S18" s="8"/>
      <c r="T18" s="23" t="str">
        <f>IF(S18&lt;&gt;"",VLOOKUP(S18,'العملاءوالموردون والاصناف'!$M$3:$N$6,2,FALSE),"")</f>
        <v/>
      </c>
    </row>
    <row r="19" spans="2:20" ht="21">
      <c r="B19" s="8"/>
      <c r="C19" s="8"/>
      <c r="D19" s="8"/>
      <c r="E19" s="23" t="str">
        <f t="shared" si="0"/>
        <v/>
      </c>
      <c r="F19" s="8"/>
      <c r="G19" s="23" t="str">
        <f>IF(F19&lt;&gt;"",VLOOKUP(F19,'العملاءوالموردون والاصناف'!$D$3:$F$6,2,FALSE),"")</f>
        <v/>
      </c>
      <c r="H19" s="23" t="str">
        <f>IF(F19&lt;&gt;"",VLOOKUP(F19,'العملاءوالموردون والاصناف'!$D$3:$F$6,3,FALSE),"")</f>
        <v/>
      </c>
      <c r="I19" s="8"/>
      <c r="J19" s="8"/>
      <c r="K19" s="8"/>
      <c r="L19" s="24">
        <f t="shared" si="1"/>
        <v>0</v>
      </c>
      <c r="M19" s="25"/>
      <c r="N19" s="26">
        <f t="shared" si="2"/>
        <v>0</v>
      </c>
      <c r="O19" s="26" t="str">
        <f t="shared" si="3"/>
        <v/>
      </c>
      <c r="P19" s="8"/>
      <c r="Q19" s="23" t="str">
        <f>IF(P19&lt;&gt;"",VLOOKUP(P19,'العملاءوالموردون والاصناف'!$I$3:$J$6,2,FALSE),"")</f>
        <v/>
      </c>
      <c r="R19" s="8"/>
      <c r="S19" s="8"/>
      <c r="T19" s="23" t="str">
        <f>IF(S19&lt;&gt;"",VLOOKUP(S19,'العملاءوالموردون والاصناف'!$M$3:$N$6,2,FALSE),"")</f>
        <v/>
      </c>
    </row>
    <row r="20" spans="2:20" ht="21">
      <c r="B20" s="8"/>
      <c r="C20" s="8"/>
      <c r="D20" s="8"/>
      <c r="E20" s="23" t="str">
        <f t="shared" si="0"/>
        <v/>
      </c>
      <c r="F20" s="8"/>
      <c r="G20" s="23" t="str">
        <f>IF(F20&lt;&gt;"",VLOOKUP(F20,'العملاءوالموردون والاصناف'!$D$3:$F$6,2,FALSE),"")</f>
        <v/>
      </c>
      <c r="H20" s="23" t="str">
        <f>IF(F20&lt;&gt;"",VLOOKUP(F20,'العملاءوالموردون والاصناف'!$D$3:$F$6,3,FALSE),"")</f>
        <v/>
      </c>
      <c r="I20" s="8"/>
      <c r="J20" s="8"/>
      <c r="K20" s="8"/>
      <c r="L20" s="24">
        <f t="shared" si="1"/>
        <v>0</v>
      </c>
      <c r="M20" s="25"/>
      <c r="N20" s="26">
        <f t="shared" si="2"/>
        <v>0</v>
      </c>
      <c r="O20" s="26" t="str">
        <f t="shared" si="3"/>
        <v/>
      </c>
      <c r="P20" s="8"/>
      <c r="Q20" s="23" t="str">
        <f>IF(P20&lt;&gt;"",VLOOKUP(P20,'العملاءوالموردون والاصناف'!$I$3:$J$6,2,FALSE),"")</f>
        <v/>
      </c>
      <c r="R20" s="8"/>
      <c r="S20" s="8"/>
      <c r="T20" s="23" t="str">
        <f>IF(S20&lt;&gt;"",VLOOKUP(S20,'العملاءوالموردون والاصناف'!$M$3:$N$6,2,FALSE),"")</f>
        <v/>
      </c>
    </row>
    <row r="21" spans="2:20" ht="21">
      <c r="B21" s="8"/>
      <c r="C21" s="8"/>
      <c r="D21" s="8"/>
      <c r="E21" s="23" t="str">
        <f t="shared" si="0"/>
        <v/>
      </c>
      <c r="F21" s="8"/>
      <c r="G21" s="23" t="str">
        <f>IF(F21&lt;&gt;"",VLOOKUP(F21,'العملاءوالموردون والاصناف'!$D$3:$F$6,2,FALSE),"")</f>
        <v/>
      </c>
      <c r="H21" s="23" t="str">
        <f>IF(F21&lt;&gt;"",VLOOKUP(F21,'العملاءوالموردون والاصناف'!$D$3:$F$6,3,FALSE),"")</f>
        <v/>
      </c>
      <c r="I21" s="8"/>
      <c r="J21" s="8"/>
      <c r="K21" s="8"/>
      <c r="L21" s="24">
        <f t="shared" si="1"/>
        <v>0</v>
      </c>
      <c r="M21" s="25"/>
      <c r="N21" s="26">
        <f t="shared" si="2"/>
        <v>0</v>
      </c>
      <c r="O21" s="26" t="str">
        <f t="shared" si="3"/>
        <v/>
      </c>
      <c r="P21" s="8"/>
      <c r="Q21" s="23" t="str">
        <f>IF(P21&lt;&gt;"",VLOOKUP(P21,'العملاءوالموردون والاصناف'!$I$3:$J$6,2,FALSE),"")</f>
        <v/>
      </c>
      <c r="R21" s="8"/>
      <c r="S21" s="8"/>
      <c r="T21" s="23" t="str">
        <f>IF(S21&lt;&gt;"",VLOOKUP(S21,'العملاءوالموردون والاصناف'!$M$3:$N$6,2,FALSE),"")</f>
        <v/>
      </c>
    </row>
    <row r="22" spans="2:20" ht="21">
      <c r="B22" s="8"/>
      <c r="C22" s="8"/>
      <c r="D22" s="8"/>
      <c r="E22" s="23" t="str">
        <f t="shared" si="0"/>
        <v/>
      </c>
      <c r="F22" s="8"/>
      <c r="G22" s="23" t="str">
        <f>IF(F22&lt;&gt;"",VLOOKUP(F22,'العملاءوالموردون والاصناف'!$D$3:$F$6,2,FALSE),"")</f>
        <v/>
      </c>
      <c r="H22" s="23" t="str">
        <f>IF(F22&lt;&gt;"",VLOOKUP(F22,'العملاءوالموردون والاصناف'!$D$3:$F$6,3,FALSE),"")</f>
        <v/>
      </c>
      <c r="I22" s="8"/>
      <c r="J22" s="8"/>
      <c r="K22" s="8"/>
      <c r="L22" s="24">
        <f t="shared" si="1"/>
        <v>0</v>
      </c>
      <c r="M22" s="25"/>
      <c r="N22" s="26">
        <f t="shared" si="2"/>
        <v>0</v>
      </c>
      <c r="O22" s="26" t="str">
        <f t="shared" si="3"/>
        <v/>
      </c>
      <c r="P22" s="8"/>
      <c r="Q22" s="23" t="str">
        <f>IF(P22&lt;&gt;"",VLOOKUP(P22,'العملاءوالموردون والاصناف'!$I$3:$J$6,2,FALSE),"")</f>
        <v/>
      </c>
      <c r="R22" s="8"/>
      <c r="S22" s="8"/>
      <c r="T22" s="23" t="str">
        <f>IF(S22&lt;&gt;"",VLOOKUP(S22,'العملاءوالموردون والاصناف'!$M$3:$N$6,2,FALSE),"")</f>
        <v/>
      </c>
    </row>
    <row r="23" spans="2:20" ht="21">
      <c r="B23" s="8"/>
      <c r="C23" s="8"/>
      <c r="D23" s="8"/>
      <c r="E23" s="23" t="str">
        <f t="shared" si="0"/>
        <v/>
      </c>
      <c r="F23" s="8"/>
      <c r="G23" s="23" t="str">
        <f>IF(F23&lt;&gt;"",VLOOKUP(F23,'العملاءوالموردون والاصناف'!$D$3:$F$6,2,FALSE),"")</f>
        <v/>
      </c>
      <c r="H23" s="23" t="str">
        <f>IF(F23&lt;&gt;"",VLOOKUP(F23,'العملاءوالموردون والاصناف'!$D$3:$F$6,3,FALSE),"")</f>
        <v/>
      </c>
      <c r="I23" s="8"/>
      <c r="J23" s="8"/>
      <c r="K23" s="8"/>
      <c r="L23" s="24">
        <f t="shared" si="1"/>
        <v>0</v>
      </c>
      <c r="M23" s="25"/>
      <c r="N23" s="26">
        <f t="shared" si="2"/>
        <v>0</v>
      </c>
      <c r="O23" s="26" t="str">
        <f t="shared" si="3"/>
        <v/>
      </c>
      <c r="P23" s="8"/>
      <c r="Q23" s="23" t="str">
        <f>IF(P23&lt;&gt;"",VLOOKUP(P23,'العملاءوالموردون والاصناف'!$I$3:$J$6,2,FALSE),"")</f>
        <v/>
      </c>
      <c r="R23" s="8"/>
      <c r="S23" s="8"/>
      <c r="T23" s="23" t="str">
        <f>IF(S23&lt;&gt;"",VLOOKUP(S23,'العملاءوالموردون والاصناف'!$M$3:$N$6,2,FALSE),"")</f>
        <v/>
      </c>
    </row>
    <row r="24" spans="2:20" ht="21">
      <c r="B24" s="8"/>
      <c r="C24" s="8"/>
      <c r="D24" s="8"/>
      <c r="E24" s="23" t="str">
        <f t="shared" si="0"/>
        <v/>
      </c>
      <c r="F24" s="8"/>
      <c r="G24" s="23" t="str">
        <f>IF(F24&lt;&gt;"",VLOOKUP(F24,'العملاءوالموردون والاصناف'!$D$3:$F$6,2,FALSE),"")</f>
        <v/>
      </c>
      <c r="H24" s="23" t="str">
        <f>IF(F24&lt;&gt;"",VLOOKUP(F24,'العملاءوالموردون والاصناف'!$D$3:$F$6,3,FALSE),"")</f>
        <v/>
      </c>
      <c r="I24" s="8"/>
      <c r="J24" s="8"/>
      <c r="K24" s="8"/>
      <c r="L24" s="24">
        <f t="shared" si="1"/>
        <v>0</v>
      </c>
      <c r="M24" s="8"/>
      <c r="N24" s="26">
        <f t="shared" si="2"/>
        <v>0</v>
      </c>
      <c r="O24" s="26" t="str">
        <f t="shared" si="3"/>
        <v/>
      </c>
      <c r="P24" s="8"/>
      <c r="Q24" s="23" t="str">
        <f>IF(P24&lt;&gt;"",VLOOKUP(P24,'العملاءوالموردون والاصناف'!$I$3:$J$6,2,FALSE),"")</f>
        <v/>
      </c>
      <c r="R24" s="8"/>
      <c r="S24" s="8"/>
      <c r="T24" s="23" t="str">
        <f>IF(S24&lt;&gt;"",VLOOKUP(S24,'العملاءوالموردون والاصناف'!$M$3:$N$6,2,FALSE),"")</f>
        <v/>
      </c>
    </row>
    <row r="26" spans="2:20" ht="40.5" customHeight="1">
      <c r="B26" s="6"/>
      <c r="C26" s="6"/>
      <c r="D26" s="6"/>
      <c r="E26" s="6"/>
      <c r="F26" s="6"/>
      <c r="G26" s="6"/>
      <c r="H26" s="6"/>
      <c r="I26" s="27">
        <f t="shared" ref="I26:L26" si="4">SUBTOTAL(9,I5:I24)</f>
        <v>0</v>
      </c>
      <c r="J26" s="27">
        <f t="shared" si="4"/>
        <v>575</v>
      </c>
      <c r="K26" s="27">
        <f t="shared" si="4"/>
        <v>275</v>
      </c>
      <c r="L26" s="27">
        <f t="shared" si="4"/>
        <v>300</v>
      </c>
      <c r="M26" s="27"/>
      <c r="N26" s="27">
        <f>SUBTOTAL(9,N5:N24)</f>
        <v>77916.666666666657</v>
      </c>
      <c r="O26" s="27">
        <f>IFERROR(N26/L26,"")</f>
        <v>259.72222222222217</v>
      </c>
      <c r="P26" s="6"/>
      <c r="Q26" s="6"/>
      <c r="R26" s="6"/>
      <c r="S26" s="6"/>
      <c r="T26" s="6"/>
    </row>
  </sheetData>
  <autoFilter ref="B4:T24" xr:uid="{00000000-0009-0000-0000-000004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D3:N6"/>
  <sheetViews>
    <sheetView rightToLeft="1" workbookViewId="0">
      <selection activeCell="M4" sqref="M4:M5"/>
    </sheetView>
  </sheetViews>
  <sheetFormatPr defaultColWidth="9" defaultRowHeight="15"/>
  <cols>
    <col min="2" max="2" width="12.7109375" customWidth="1"/>
    <col min="3" max="3" width="11.140625" customWidth="1"/>
    <col min="4" max="4" width="13.85546875" customWidth="1"/>
    <col min="5" max="5" width="13.140625" customWidth="1"/>
    <col min="6" max="6" width="14.42578125" customWidth="1"/>
    <col min="9" max="9" width="11.85546875" customWidth="1"/>
    <col min="10" max="10" width="12" customWidth="1"/>
    <col min="13" max="13" width="12.42578125" customWidth="1"/>
    <col min="14" max="14" width="12.28515625" customWidth="1"/>
    <col min="16" max="16" width="12.7109375" customWidth="1"/>
    <col min="17" max="17" width="11.140625" customWidth="1"/>
    <col min="18" max="18" width="12.42578125" customWidth="1"/>
    <col min="19" max="19" width="12.28515625" customWidth="1"/>
  </cols>
  <sheetData>
    <row r="3" spans="4:14" ht="21">
      <c r="D3" s="21" t="s">
        <v>254</v>
      </c>
      <c r="E3" s="21" t="s">
        <v>238</v>
      </c>
      <c r="F3" s="21" t="s">
        <v>239</v>
      </c>
      <c r="I3" s="21" t="s">
        <v>247</v>
      </c>
      <c r="J3" s="21" t="s">
        <v>248</v>
      </c>
      <c r="M3" s="21" t="s">
        <v>251</v>
      </c>
      <c r="N3" s="21" t="s">
        <v>255</v>
      </c>
    </row>
    <row r="4" spans="4:14">
      <c r="D4">
        <v>10001</v>
      </c>
      <c r="E4" t="s">
        <v>256</v>
      </c>
      <c r="F4" t="s">
        <v>257</v>
      </c>
      <c r="I4">
        <v>20002</v>
      </c>
      <c r="J4" t="s">
        <v>258</v>
      </c>
      <c r="M4">
        <v>30001</v>
      </c>
      <c r="N4" t="s">
        <v>259</v>
      </c>
    </row>
    <row r="5" spans="4:14">
      <c r="D5">
        <v>10002</v>
      </c>
      <c r="E5" t="s">
        <v>260</v>
      </c>
      <c r="F5" t="s">
        <v>261</v>
      </c>
      <c r="I5">
        <v>20003</v>
      </c>
      <c r="J5" t="s">
        <v>262</v>
      </c>
      <c r="M5">
        <v>30002</v>
      </c>
      <c r="N5" t="s">
        <v>263</v>
      </c>
    </row>
    <row r="6" spans="4:14">
      <c r="D6">
        <v>10003</v>
      </c>
      <c r="E6" t="s">
        <v>264</v>
      </c>
      <c r="F6" t="s">
        <v>265</v>
      </c>
      <c r="I6">
        <v>20004</v>
      </c>
      <c r="J6" t="s">
        <v>266</v>
      </c>
      <c r="M6">
        <v>30003</v>
      </c>
      <c r="N6" t="s">
        <v>267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AG6"/>
  <sheetViews>
    <sheetView rightToLeft="1" zoomScale="82" zoomScaleNormal="82" workbookViewId="0">
      <selection activeCell="C5" sqref="C5"/>
    </sheetView>
  </sheetViews>
  <sheetFormatPr defaultColWidth="9" defaultRowHeight="15"/>
  <cols>
    <col min="2" max="2" width="21.5703125" customWidth="1"/>
    <col min="3" max="3" width="11" customWidth="1"/>
    <col min="4" max="4" width="9.7109375" customWidth="1"/>
    <col min="5" max="5" width="10.7109375" customWidth="1"/>
    <col min="17" max="17" width="12" customWidth="1"/>
    <col min="18" max="19" width="10.140625" customWidth="1"/>
    <col min="32" max="32" width="10.140625" customWidth="1"/>
  </cols>
  <sheetData>
    <row r="3" spans="2:33">
      <c r="B3" s="16" t="s">
        <v>268</v>
      </c>
      <c r="C3" s="16" t="s">
        <v>269</v>
      </c>
      <c r="D3" s="16" t="s">
        <v>270</v>
      </c>
      <c r="E3" s="16" t="s">
        <v>271</v>
      </c>
      <c r="F3" s="17">
        <v>45658</v>
      </c>
      <c r="G3" s="17">
        <v>45689</v>
      </c>
      <c r="H3" s="17">
        <v>45717</v>
      </c>
      <c r="I3" s="17">
        <v>45748</v>
      </c>
      <c r="J3" s="17">
        <v>45778</v>
      </c>
      <c r="K3" s="17">
        <v>45809</v>
      </c>
      <c r="L3" s="17">
        <v>45839</v>
      </c>
      <c r="M3" s="17">
        <v>45870</v>
      </c>
      <c r="N3" s="17">
        <v>45901</v>
      </c>
      <c r="O3" s="17">
        <v>45931</v>
      </c>
      <c r="P3" s="17">
        <v>45962</v>
      </c>
      <c r="Q3" s="17">
        <v>45992</v>
      </c>
      <c r="R3" s="20" t="s">
        <v>272</v>
      </c>
      <c r="S3" s="20" t="s">
        <v>273</v>
      </c>
      <c r="T3" s="17">
        <v>46023</v>
      </c>
      <c r="U3" s="17">
        <v>46054</v>
      </c>
      <c r="V3" s="17">
        <v>46082</v>
      </c>
      <c r="W3" s="17">
        <v>46113</v>
      </c>
      <c r="X3" s="17">
        <v>46143</v>
      </c>
      <c r="Y3" s="17">
        <v>46174</v>
      </c>
      <c r="Z3" s="17">
        <v>46204</v>
      </c>
      <c r="AA3" s="17">
        <v>46235</v>
      </c>
      <c r="AB3" s="17">
        <v>46266</v>
      </c>
      <c r="AC3" s="17">
        <v>46296</v>
      </c>
      <c r="AD3" s="17">
        <v>46327</v>
      </c>
      <c r="AE3" s="17">
        <v>46357</v>
      </c>
      <c r="AF3" s="20" t="s">
        <v>272</v>
      </c>
      <c r="AG3" s="20" t="s">
        <v>273</v>
      </c>
    </row>
    <row r="4" spans="2:33">
      <c r="B4" s="18" t="s">
        <v>274</v>
      </c>
      <c r="C4">
        <v>60000</v>
      </c>
      <c r="D4" s="19">
        <v>45658</v>
      </c>
      <c r="E4" t="s">
        <v>216</v>
      </c>
      <c r="F4">
        <f>$C$4/12</f>
        <v>5000</v>
      </c>
      <c r="G4">
        <f t="shared" ref="G4:Q4" si="0">$C$4/12</f>
        <v>5000</v>
      </c>
      <c r="H4">
        <f t="shared" si="0"/>
        <v>5000</v>
      </c>
      <c r="I4">
        <f t="shared" si="0"/>
        <v>5000</v>
      </c>
      <c r="J4">
        <f t="shared" si="0"/>
        <v>5000</v>
      </c>
      <c r="K4">
        <f t="shared" si="0"/>
        <v>5000</v>
      </c>
      <c r="L4">
        <f t="shared" si="0"/>
        <v>5000</v>
      </c>
      <c r="M4">
        <f t="shared" si="0"/>
        <v>5000</v>
      </c>
      <c r="N4">
        <f t="shared" si="0"/>
        <v>5000</v>
      </c>
      <c r="O4">
        <f t="shared" si="0"/>
        <v>5000</v>
      </c>
      <c r="P4">
        <f t="shared" si="0"/>
        <v>5000</v>
      </c>
      <c r="Q4">
        <f t="shared" si="0"/>
        <v>5000</v>
      </c>
      <c r="R4" s="20">
        <f>SUM(F4:Q4)</f>
        <v>60000</v>
      </c>
      <c r="S4" s="20">
        <f>R4-C4</f>
        <v>0</v>
      </c>
      <c r="AF4" s="20">
        <f>SUM(T4:AE4)</f>
        <v>0</v>
      </c>
      <c r="AG4" s="20">
        <f>S4-AF4</f>
        <v>0</v>
      </c>
    </row>
    <row r="5" spans="2:33">
      <c r="B5" s="18" t="s">
        <v>193</v>
      </c>
      <c r="C5">
        <v>75000</v>
      </c>
      <c r="D5" s="19">
        <v>45658</v>
      </c>
      <c r="E5" t="s">
        <v>216</v>
      </c>
      <c r="F5">
        <f>$C$5/12</f>
        <v>6250</v>
      </c>
      <c r="G5">
        <f t="shared" ref="G5:H5" si="1">$C$5/12</f>
        <v>6250</v>
      </c>
      <c r="H5">
        <f t="shared" si="1"/>
        <v>6250</v>
      </c>
      <c r="I5">
        <f t="shared" ref="I5:Q5" si="2">$C$5/12</f>
        <v>6250</v>
      </c>
      <c r="J5">
        <f t="shared" si="2"/>
        <v>6250</v>
      </c>
      <c r="K5">
        <f t="shared" si="2"/>
        <v>6250</v>
      </c>
      <c r="L5">
        <f t="shared" si="2"/>
        <v>6250</v>
      </c>
      <c r="M5">
        <f t="shared" si="2"/>
        <v>6250</v>
      </c>
      <c r="N5">
        <f t="shared" si="2"/>
        <v>6250</v>
      </c>
      <c r="O5">
        <f t="shared" si="2"/>
        <v>6250</v>
      </c>
      <c r="P5">
        <f t="shared" si="2"/>
        <v>6250</v>
      </c>
      <c r="Q5">
        <f t="shared" si="2"/>
        <v>6250</v>
      </c>
      <c r="R5" s="20">
        <f>SUM(F5:Q5)</f>
        <v>75000</v>
      </c>
      <c r="S5" s="20">
        <f>R5-C5</f>
        <v>0</v>
      </c>
      <c r="AF5" s="20">
        <f>SUM(T5:AE5)</f>
        <v>0</v>
      </c>
      <c r="AG5" s="20">
        <f t="shared" ref="AG5:AG6" si="3">S5-AF5</f>
        <v>0</v>
      </c>
    </row>
    <row r="6" spans="2:33">
      <c r="B6" s="20" t="s">
        <v>178</v>
      </c>
      <c r="C6" s="20">
        <f>C4+C5</f>
        <v>135000</v>
      </c>
      <c r="D6" s="20"/>
      <c r="E6" s="20"/>
      <c r="F6" s="20">
        <f>F4+F5</f>
        <v>11250</v>
      </c>
      <c r="G6" s="20">
        <f t="shared" ref="G6:Q6" si="4">G4+G5</f>
        <v>11250</v>
      </c>
      <c r="H6" s="20">
        <f t="shared" si="4"/>
        <v>11250</v>
      </c>
      <c r="I6" s="20">
        <f t="shared" si="4"/>
        <v>11250</v>
      </c>
      <c r="J6" s="20">
        <f t="shared" si="4"/>
        <v>11250</v>
      </c>
      <c r="K6" s="20">
        <f t="shared" si="4"/>
        <v>11250</v>
      </c>
      <c r="L6" s="20">
        <f t="shared" si="4"/>
        <v>11250</v>
      </c>
      <c r="M6" s="20">
        <f t="shared" si="4"/>
        <v>11250</v>
      </c>
      <c r="N6" s="20">
        <f t="shared" si="4"/>
        <v>11250</v>
      </c>
      <c r="O6" s="20">
        <f t="shared" si="4"/>
        <v>11250</v>
      </c>
      <c r="P6" s="20">
        <f t="shared" si="4"/>
        <v>11250</v>
      </c>
      <c r="Q6" s="20">
        <f t="shared" si="4"/>
        <v>11250</v>
      </c>
      <c r="R6" s="20">
        <f>SUM(F6:Q6)</f>
        <v>135000</v>
      </c>
      <c r="S6" s="20">
        <f>R6-C6</f>
        <v>0</v>
      </c>
      <c r="T6" s="20">
        <f>T4+T5</f>
        <v>0</v>
      </c>
      <c r="U6" s="20">
        <f t="shared" ref="U6:AA6" si="5">U4+U5</f>
        <v>0</v>
      </c>
      <c r="V6" s="20">
        <f t="shared" si="5"/>
        <v>0</v>
      </c>
      <c r="W6" s="20">
        <f t="shared" si="5"/>
        <v>0</v>
      </c>
      <c r="X6" s="20">
        <f t="shared" si="5"/>
        <v>0</v>
      </c>
      <c r="Y6" s="20">
        <f t="shared" si="5"/>
        <v>0</v>
      </c>
      <c r="Z6" s="20">
        <f t="shared" si="5"/>
        <v>0</v>
      </c>
      <c r="AA6" s="20">
        <f t="shared" si="5"/>
        <v>0</v>
      </c>
      <c r="AB6" s="20">
        <f t="shared" ref="AB6" si="6">AB4+AB5</f>
        <v>0</v>
      </c>
      <c r="AC6" s="20">
        <f t="shared" ref="AC6" si="7">AC4+AC5</f>
        <v>0</v>
      </c>
      <c r="AD6" s="20">
        <f t="shared" ref="AD6" si="8">AD4+AD5</f>
        <v>0</v>
      </c>
      <c r="AE6" s="20">
        <f t="shared" ref="AE6" si="9">AE4+AE5</f>
        <v>0</v>
      </c>
      <c r="AF6" s="20">
        <f>SUM(T6:AE6)</f>
        <v>0</v>
      </c>
      <c r="AG6" s="20">
        <f t="shared" si="3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K7"/>
  <sheetViews>
    <sheetView rightToLeft="1" workbookViewId="0">
      <selection activeCell="H24" sqref="H24"/>
    </sheetView>
  </sheetViews>
  <sheetFormatPr defaultColWidth="9" defaultRowHeight="15"/>
  <cols>
    <col min="2" max="2" width="11.85546875" customWidth="1"/>
    <col min="3" max="3" width="16.7109375" customWidth="1"/>
    <col min="4" max="4" width="14.7109375" customWidth="1"/>
    <col min="5" max="5" width="10.42578125" customWidth="1"/>
    <col min="6" max="6" width="15.140625" customWidth="1"/>
    <col min="7" max="7" width="17.140625" customWidth="1"/>
    <col min="8" max="8" width="23.42578125" customWidth="1"/>
    <col min="9" max="9" width="17.140625" customWidth="1"/>
    <col min="10" max="10" width="22.7109375" customWidth="1"/>
    <col min="11" max="11" width="18.85546875" customWidth="1"/>
  </cols>
  <sheetData>
    <row r="2" spans="2:11" ht="21">
      <c r="I2" s="13">
        <v>2025</v>
      </c>
    </row>
    <row r="3" spans="2:11" ht="21">
      <c r="B3" s="7" t="s">
        <v>275</v>
      </c>
      <c r="C3" s="7" t="s">
        <v>185</v>
      </c>
      <c r="D3" s="7" t="s">
        <v>276</v>
      </c>
      <c r="E3" s="7" t="s">
        <v>181</v>
      </c>
      <c r="F3" s="7" t="s">
        <v>277</v>
      </c>
      <c r="G3" s="7" t="s">
        <v>278</v>
      </c>
      <c r="H3" s="7" t="s">
        <v>279</v>
      </c>
      <c r="I3" s="7" t="s">
        <v>298</v>
      </c>
      <c r="J3" s="7" t="s">
        <v>280</v>
      </c>
      <c r="K3" s="7" t="s">
        <v>281</v>
      </c>
    </row>
    <row r="4" spans="2:11" ht="21">
      <c r="B4" s="8" t="s">
        <v>282</v>
      </c>
      <c r="C4" s="8" t="s">
        <v>283</v>
      </c>
      <c r="D4" s="9">
        <v>45695</v>
      </c>
      <c r="E4" s="8"/>
      <c r="F4" s="10">
        <v>0.2</v>
      </c>
      <c r="G4" s="11">
        <v>100000</v>
      </c>
      <c r="H4" s="11">
        <v>0</v>
      </c>
      <c r="I4" s="11">
        <f>G4*F4*6/12</f>
        <v>10000</v>
      </c>
      <c r="J4" s="14">
        <f>H4+I4</f>
        <v>10000</v>
      </c>
      <c r="K4" s="15">
        <f>G4-J4</f>
        <v>90000</v>
      </c>
    </row>
    <row r="5" spans="2:11" ht="21">
      <c r="B5" s="8" t="s">
        <v>284</v>
      </c>
      <c r="C5" s="8" t="s">
        <v>285</v>
      </c>
      <c r="D5" s="8" t="s">
        <v>286</v>
      </c>
      <c r="E5" s="8"/>
      <c r="F5" s="10">
        <v>0.2</v>
      </c>
      <c r="G5" s="11">
        <v>50000</v>
      </c>
      <c r="H5" s="11">
        <v>0</v>
      </c>
      <c r="I5" s="11">
        <f>G5*F5*3/12</f>
        <v>2500</v>
      </c>
      <c r="J5" s="15">
        <f t="shared" ref="J5:J6" si="0">H5+I5</f>
        <v>2500</v>
      </c>
      <c r="K5" s="15">
        <f t="shared" ref="K5:K6" si="1">G5-J5</f>
        <v>47500</v>
      </c>
    </row>
    <row r="6" spans="2:11" ht="21">
      <c r="B6" s="8" t="s">
        <v>287</v>
      </c>
      <c r="C6" s="8" t="s">
        <v>288</v>
      </c>
      <c r="D6" s="8" t="s">
        <v>289</v>
      </c>
      <c r="E6" s="8"/>
      <c r="F6" s="10">
        <v>0.2</v>
      </c>
      <c r="G6" s="11">
        <v>75000</v>
      </c>
      <c r="H6" s="11">
        <v>0</v>
      </c>
      <c r="I6" s="11">
        <f>G6*F6*3/12</f>
        <v>3750</v>
      </c>
      <c r="J6" s="15">
        <f t="shared" si="0"/>
        <v>3750</v>
      </c>
      <c r="K6" s="15">
        <f t="shared" si="1"/>
        <v>71250</v>
      </c>
    </row>
    <row r="7" spans="2:11" ht="21">
      <c r="B7" s="6"/>
      <c r="C7" s="6"/>
      <c r="D7" s="6"/>
      <c r="E7" s="6"/>
      <c r="F7" s="6"/>
      <c r="G7" s="12">
        <f>SUM(G4:G6)</f>
        <v>225000</v>
      </c>
      <c r="H7" s="12">
        <f>SUM(H4:H6)</f>
        <v>0</v>
      </c>
      <c r="I7" s="12">
        <f>SUM(I4:I6)</f>
        <v>16250</v>
      </c>
      <c r="J7" s="12">
        <f>SUM(J4:J6)</f>
        <v>16250</v>
      </c>
      <c r="K7" s="12">
        <f>SUM(K4:K6)</f>
        <v>208750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ميزان المراجعه</vt:lpstr>
      <vt:lpstr>قيود اليوميه</vt:lpstr>
      <vt:lpstr>الجهات</vt:lpstr>
      <vt:lpstr>قائمه الدخل</vt:lpstr>
      <vt:lpstr>قائمه المركز المالي</vt:lpstr>
      <vt:lpstr>الحركات علي المخزون</vt:lpstr>
      <vt:lpstr>العملاءوالموردون والاصناف</vt:lpstr>
      <vt:lpstr>الايجارات</vt:lpstr>
      <vt:lpstr>الاهلاك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Ali</dc:creator>
  <cp:lastModifiedBy>Ahmed Ali</cp:lastModifiedBy>
  <dcterms:created xsi:type="dcterms:W3CDTF">2025-11-04T22:36:00Z</dcterms:created>
  <dcterms:modified xsi:type="dcterms:W3CDTF">2025-11-12T22:32:06Z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C3E260E250FF47B0B769C9D69C945FBC_12</vt:lpwstr>
  </property>
  <property fmtid="{D5CDD505-2E9C-101B-9397-08002B2CF9AE}" pid="3" name="KSOProductBuildVer">
    <vt:lpwstr>1033-12.2.0.23155</vt:lpwstr>
  </property>
</Properties>
</file>